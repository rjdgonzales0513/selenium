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jdgo\Documents\Workspace\selenium\docs\"/>
    </mc:Choice>
  </mc:AlternateContent>
  <xr:revisionPtr revIDLastSave="0" documentId="13_ncr:1_{A1F8A30A-A177-4A90-9F1F-D20B684DC8B2}" xr6:coauthVersionLast="47" xr6:coauthVersionMax="47" xr10:uidLastSave="{00000000-0000-0000-0000-000000000000}"/>
  <bookViews>
    <workbookView xWindow="29580" yWindow="780" windowWidth="38700" windowHeight="15345" xr2:uid="{00000000-000D-0000-FFFF-FFFF00000000}"/>
  </bookViews>
  <sheets>
    <sheet name="Test Plan" sheetId="1" r:id="rId1"/>
    <sheet name="Summary" sheetId="2" r:id="rId2"/>
    <sheet name="Test Scenarios" sheetId="3" r:id="rId3"/>
    <sheet name="Test Cases" sheetId="4" r:id="rId4"/>
  </sheets>
  <definedNames>
    <definedName name="_xlnm._FilterDatabase" localSheetId="3" hidden="1">'Test Cases'!$A$1:$R$20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3" l="1"/>
  <c r="J15" i="3" s="1"/>
  <c r="H15" i="3"/>
  <c r="G15" i="3"/>
  <c r="I14" i="3"/>
  <c r="J14" i="3" s="1"/>
  <c r="H14" i="3"/>
  <c r="G14" i="3"/>
  <c r="I13" i="3"/>
  <c r="H13" i="3"/>
  <c r="G13" i="3"/>
  <c r="I12" i="3"/>
  <c r="H12" i="3"/>
  <c r="G12" i="3"/>
  <c r="I11" i="3"/>
  <c r="J11" i="3" s="1"/>
  <c r="H11" i="3"/>
  <c r="G11" i="3"/>
  <c r="I10" i="3"/>
  <c r="J10" i="3" s="1"/>
  <c r="H10" i="3"/>
  <c r="G10" i="3"/>
  <c r="J9" i="3"/>
  <c r="I9" i="3"/>
  <c r="H9" i="3"/>
  <c r="G9" i="3"/>
  <c r="I8" i="3"/>
  <c r="J8" i="3" s="1"/>
  <c r="H8" i="3"/>
  <c r="G8" i="3"/>
  <c r="I7" i="3"/>
  <c r="H7" i="3"/>
  <c r="G7" i="3"/>
  <c r="J6" i="3"/>
  <c r="I6" i="3"/>
  <c r="H6" i="3"/>
  <c r="G6" i="3"/>
  <c r="I5" i="3"/>
  <c r="J5" i="3" s="1"/>
  <c r="H5" i="3"/>
  <c r="G5" i="3"/>
  <c r="I4" i="3"/>
  <c r="H4" i="3"/>
  <c r="G4" i="3"/>
  <c r="I3" i="3"/>
  <c r="J3" i="3" s="1"/>
  <c r="H3" i="3"/>
  <c r="G3" i="3"/>
  <c r="I2" i="3"/>
  <c r="H2" i="3"/>
  <c r="G2" i="3"/>
  <c r="D31" i="2"/>
  <c r="C31" i="2"/>
  <c r="B31" i="2"/>
  <c r="D30" i="2"/>
  <c r="C30" i="2"/>
  <c r="B30" i="2"/>
  <c r="D29" i="2"/>
  <c r="C29" i="2"/>
  <c r="B29" i="2"/>
  <c r="D28" i="2"/>
  <c r="C28" i="2"/>
  <c r="B28" i="2"/>
  <c r="G23" i="2"/>
  <c r="F23" i="2"/>
  <c r="E23" i="2"/>
  <c r="D23" i="2"/>
  <c r="C23" i="2"/>
  <c r="B23" i="2"/>
  <c r="G22" i="2"/>
  <c r="F22" i="2"/>
  <c r="E22" i="2"/>
  <c r="D22" i="2"/>
  <c r="C22" i="2"/>
  <c r="B22" i="2"/>
  <c r="G21" i="2"/>
  <c r="F21" i="2"/>
  <c r="E21" i="2"/>
  <c r="D21" i="2"/>
  <c r="C21" i="2"/>
  <c r="B21" i="2"/>
  <c r="G20" i="2"/>
  <c r="F20" i="2"/>
  <c r="E20" i="2"/>
  <c r="D20" i="2"/>
  <c r="C20" i="2"/>
  <c r="B20" i="2"/>
  <c r="G19" i="2"/>
  <c r="F19" i="2"/>
  <c r="E19" i="2"/>
  <c r="D19" i="2"/>
  <c r="C19" i="2"/>
  <c r="B19" i="2"/>
  <c r="G18" i="2"/>
  <c r="F18" i="2"/>
  <c r="E18" i="2"/>
  <c r="D18" i="2"/>
  <c r="C18" i="2"/>
  <c r="B18" i="2"/>
  <c r="G17" i="2"/>
  <c r="F17" i="2"/>
  <c r="E17" i="2"/>
  <c r="D17" i="2"/>
  <c r="C17" i="2"/>
  <c r="B17" i="2"/>
  <c r="B12" i="2"/>
  <c r="B13" i="2" s="1"/>
  <c r="B11" i="2"/>
  <c r="B10" i="2"/>
  <c r="B9" i="2"/>
  <c r="B8" i="2"/>
  <c r="B6" i="2"/>
  <c r="B5" i="2"/>
  <c r="B4" i="2"/>
  <c r="B7" i="2" s="1"/>
  <c r="J13" i="3" l="1"/>
  <c r="J12" i="3"/>
  <c r="J7" i="3"/>
  <c r="J4" i="3"/>
  <c r="J2" i="3"/>
  <c r="G24" i="2"/>
  <c r="F24" i="2"/>
  <c r="E24" i="2"/>
  <c r="D24" i="2"/>
  <c r="C24" i="2"/>
  <c r="B24" i="2"/>
</calcChain>
</file>

<file path=xl/sharedStrings.xml><?xml version="1.0" encoding="utf-8"?>
<sst xmlns="http://schemas.openxmlformats.org/spreadsheetml/2006/main" count="555" uniqueCount="297">
  <si>
    <t>Test Plan - Sauce Demo UI &amp; Users API Automation</t>
  </si>
  <si>
    <t>Document information</t>
  </si>
  <si>
    <t>Version</t>
  </si>
  <si>
    <t>1.0</t>
  </si>
  <si>
    <t>Date</t>
  </si>
  <si>
    <t>2026-10-12</t>
  </si>
  <si>
    <t>Prepared by</t>
  </si>
  <si>
    <t>Reviewed / approved by</t>
  </si>
  <si>
    <t>1. Objective</t>
  </si>
  <si>
    <t>Objective</t>
  </si>
  <si>
    <t>Verify the core user journeys of the Sauce Demo web shop (login, cart, checkout, purchase) and the reqres.in Users API, using an automated Cucumber (BDD) regression suite that can be run on demand against the qa or staging environment.</t>
  </si>
  <si>
    <t>2. Scope</t>
  </si>
  <si>
    <t>In scope</t>
  </si>
  <si>
    <t>- Login: valid, invalid, locked-out and data-driven (Excel) credentials
- Products page: sorting by price, adding items to the cart, cart badge
- Cart: contents, removing items, proceeding to checkout
- Checkout: required-field validation, cancelling, order overview totals (item total and tax), order completion
- Logout
- Browser window/tab handling after login
- Users API: get single user, list users, create user, unknown user (404)</t>
  </si>
  <si>
    <t>Out of scope</t>
  </si>
  <si>
    <t>- Performance, load and security testing
- Accessibility and visual/layout testing
- Mobile browsers and browsers other than Chrome and Firefox
- Real payment processing (Sauce Demo has none)
- Other reqres.in resources and authenticated API endpoints beyond the login token flow</t>
  </si>
  <si>
    <t>3. Applications under test</t>
  </si>
  <si>
    <t>Web UI</t>
  </si>
  <si>
    <t>Sauce Demo - https://www.saucedemo.com (public demo shop)</t>
  </si>
  <si>
    <t>API</t>
  </si>
  <si>
    <t>reqres.in - https://reqres.in/api (public demo REST API)</t>
  </si>
  <si>
    <t>4. Test approach</t>
  </si>
  <si>
    <t>Methodology</t>
  </si>
  <si>
    <t>Behaviour-driven: each scenario is written in Gherkin (.feature files) and mapped to step definitions. Every scenario name starts with its test case ID so results in logs and reports trace back to this workbook.</t>
  </si>
  <si>
    <t>Test types</t>
  </si>
  <si>
    <t>- Functional positive
- Negative (invalid input, validation errors)
- Data-driven (Excel test data)
- End-to-end (full purchase journey)
- API (status codes, response fields)</t>
  </si>
  <si>
    <t>Automation</t>
  </si>
  <si>
    <t>Selenium WebDriver 4 (UI) and RestAssured 5 (API), run by Cucumber 7 on the JUnit Platform with Maven. All test cases on the Test Cases sheet are automated. New cases can be added as 'Not automated' and executed manually until they are automated.</t>
  </si>
  <si>
    <t>Regression</t>
  </si>
  <si>
    <t>The full suite (tag @All) runs on every change. Smaller subsets can be run by tag, e.g. @smoke, @e2e, @API.</t>
  </si>
  <si>
    <t>5. Test environment</t>
  </si>
  <si>
    <t>Environments</t>
  </si>
  <si>
    <t>qa (default) and staging, selected with -Denv=&lt;name&gt;. Configuration lives in src/test/resources/config/.</t>
  </si>
  <si>
    <t>Browsers</t>
  </si>
  <si>
    <t>Chrome (default) and Firefox, selected with -Dbrowser=&lt;name&gt;. Headless mode with -Dheadless=true.</t>
  </si>
  <si>
    <t>Tooling</t>
  </si>
  <si>
    <t>Java 21, Maven 3.9+, Selenium 4.48, Cucumber 7.34, RestAssured 5.5, ExtentReports 5.1, Log4j2.</t>
  </si>
  <si>
    <t>6. Test data</t>
  </si>
  <si>
    <t>Sources</t>
  </si>
  <si>
    <t>- Excel: src/test/resources/testdata/&lt;env&gt;/TestData.xlsx (sheet 'Login', keyed by TestDataId)
- JSON request bodies: src/test/resources/testdata/api/
- Inline values in feature files (Examples tables)</t>
  </si>
  <si>
    <t>Accounts</t>
  </si>
  <si>
    <t>Sauce Demo public demo accounts (e.g. standard_user / secret_sauce, locked_out_user). reqres.in demo credentials from config.properties. No production or personal data is used.</t>
  </si>
  <si>
    <t>7. Entry criteria</t>
  </si>
  <si>
    <t>Entry</t>
  </si>
  <si>
    <t>- Test environment URLs reachable
- Build compiles (mvn test-compile)
- Test data available for the selected environment
- Browser installed for UI runs</t>
  </si>
  <si>
    <t>8. Exit criteria</t>
  </si>
  <si>
    <t>Exit</t>
  </si>
  <si>
    <t>- 100% of automated test cases executed
- All Critical and High priority test cases passed
- No open Critical or High severity defects
- Execution results recorded on the Test Cases sheet and reports archived</t>
  </si>
  <si>
    <t>9. Suspension / resumption</t>
  </si>
  <si>
    <t>Suspend when</t>
  </si>
  <si>
    <t>The application under test or reqres.in is unavailable, or a blocking defect stops the login or checkout flow.</t>
  </si>
  <si>
    <t>Resume when</t>
  </si>
  <si>
    <t>The environment is available again or the blocking defect is fixed and verified.</t>
  </si>
  <si>
    <t>10. Risks and mitigations</t>
  </si>
  <si>
    <t>Third-party demo sites</t>
  </si>
  <si>
    <t>Both systems under test are public demo sites outside our control; outages or content changes cause failures unrelated to our code. Mitigation: re-run failed cases, check the site manually before raising a defect.</t>
  </si>
  <si>
    <t>API rate limiting</t>
  </si>
  <si>
    <t>reqres.in allows 40 requests per day per IP address without an account (plus a 20 requests/minute window). When the limit is used up, API cases fail with 429 'rate_limit_exceeded' until midnight UTC. Mitigation: avoid repeated API runs, run API tests once per cycle with -Dcucumber.filter.tags=@API, or use a reqres.in account for a higher limit.</t>
  </si>
  <si>
    <t>Browser / driver drift</t>
  </si>
  <si>
    <t>Newer Chrome versions than Selenium supports produce CDP warnings and could break features. Mitigation: keep Selenium up to date.</t>
  </si>
  <si>
    <t>Browser popups</t>
  </si>
  <si>
    <t>Chrome's password-breach dialog blocks UI tests after login. Mitigation: the password manager is disabled in ChromeDriverImpl.</t>
  </si>
  <si>
    <t>Locator changes</t>
  </si>
  <si>
    <t>UI changes can break element locators. Mitigation: locators use stable data-test attributes where available and live only in page objects.</t>
  </si>
  <si>
    <t>11. Deliverables</t>
  </si>
  <si>
    <t>Artifacts</t>
  </si>
  <si>
    <t>- This workbook (plan, scenarios, test cases, summary)
- Extent report: ExtentReport.html (steps, errors, failure screenshots)
- Cucumber HTML report: target/cucumber-report.html
- Execution log: logs/automation.log
- Surefire results: target/surefire-reports/</t>
  </si>
  <si>
    <t>12. Execution</t>
  </si>
  <si>
    <t>How to run</t>
  </si>
  <si>
    <t>mvn clean test -Denv=qa
Optional: -Dbrowser=firefox -Dheadless=true
Run a subset by tag: "-Dcucumber.filter.tags=@API" (default @All; keep the quotes in PowerShell).</t>
  </si>
  <si>
    <t>13. Roles and responsibilities</t>
  </si>
  <si>
    <t>QA / automation engineer</t>
  </si>
  <si>
    <t>Developer contact</t>
  </si>
  <si>
    <t>Test manager / approver</t>
  </si>
  <si>
    <t>14. How to use this workbook</t>
  </si>
  <si>
    <t>Sheets</t>
  </si>
  <si>
    <t>- Test Plan: this page
- Summary: totals calculated automatically from the Test Cases sheet
- Test Scenarios: high-level scenarios, with case counts calculated from the Test Cases sheet
- Test Cases: detailed cases with steps, data and expected results</t>
  </si>
  <si>
    <t>Cells to fill in</t>
  </si>
  <si>
    <t>Yellow cells are for you to fill in: the names on this page, and the execution columns on the Test Cases sheet (Last Run Date, Last Run Result, Executed By, Actual Result / Remarks, Defect ID). Last Run Result has a drop-down: Pass, Fail, Blocked, Not Run. Everything on the Summary sheet updates automatically.</t>
  </si>
  <si>
    <t>Recorded results</t>
  </si>
  <si>
    <t>Results are from the automated run on 2026-10-12 (mvn clean test -Denv=qa, Chrome): 19 of 19 passed.</t>
  </si>
  <si>
    <t>Execution Summary</t>
  </si>
  <si>
    <t>All figures are calculated from the Test Cases sheet.</t>
  </si>
  <si>
    <t>Metric</t>
  </si>
  <si>
    <t>Value</t>
  </si>
  <si>
    <t>Total test cases</t>
  </si>
  <si>
    <t>Automated</t>
  </si>
  <si>
    <t>Not automated (proposed)</t>
  </si>
  <si>
    <t>Automation coverage</t>
  </si>
  <si>
    <t>Passed</t>
  </si>
  <si>
    <t>Failed</t>
  </si>
  <si>
    <t>Blocked</t>
  </si>
  <si>
    <t>Not run</t>
  </si>
  <si>
    <t>Executed</t>
  </si>
  <si>
    <t>Pass rate (of executed)</t>
  </si>
  <si>
    <t>By module</t>
  </si>
  <si>
    <t>Module</t>
  </si>
  <si>
    <t>Test Cases</t>
  </si>
  <si>
    <t>Not Run</t>
  </si>
  <si>
    <t>Login</t>
  </si>
  <si>
    <t>Browser windows</t>
  </si>
  <si>
    <t>Products</t>
  </si>
  <si>
    <t>Cart</t>
  </si>
  <si>
    <t>Checkout</t>
  </si>
  <si>
    <t>End-to-end</t>
  </si>
  <si>
    <t>Users API</t>
  </si>
  <si>
    <t>Total</t>
  </si>
  <si>
    <t>By priority</t>
  </si>
  <si>
    <t>Priority</t>
  </si>
  <si>
    <t>Critical</t>
  </si>
  <si>
    <t>High</t>
  </si>
  <si>
    <t>Medium</t>
  </si>
  <si>
    <t>Low</t>
  </si>
  <si>
    <t>Scenario ID</t>
  </si>
  <si>
    <t>Scenario</t>
  </si>
  <si>
    <t>Description</t>
  </si>
  <si>
    <t>Type</t>
  </si>
  <si>
    <t>Status</t>
  </si>
  <si>
    <t>TS_LOGIN_01</t>
  </si>
  <si>
    <t>Valid login</t>
  </si>
  <si>
    <t>Verify a user can log in with valid credentials and lands on the Products page.</t>
  </si>
  <si>
    <t>Functional - Positive</t>
  </si>
  <si>
    <t>TS_LOGIN_02</t>
  </si>
  <si>
    <t>Invalid login</t>
  </si>
  <si>
    <t>Verify login is rejected with an error message for invalid credentials.</t>
  </si>
  <si>
    <t>Negative</t>
  </si>
  <si>
    <t>TS_LOGIN_03</t>
  </si>
  <si>
    <t>Data-driven login</t>
  </si>
  <si>
    <t>Verify login using credentials maintained in the Excel test data file.</t>
  </si>
  <si>
    <t>Data-driven</t>
  </si>
  <si>
    <t>TS_LOGIN_04</t>
  </si>
  <si>
    <t>Locked-out user</t>
  </si>
  <si>
    <t>Verify a locked-out account cannot log in and sees the locked-out message.</t>
  </si>
  <si>
    <t>TS_NAV_01</t>
  </si>
  <si>
    <t>New tab handling</t>
  </si>
  <si>
    <t>Verify the session is unaffected after opening, closing and switching back from a new browser tab.</t>
  </si>
  <si>
    <t>TS_PROD_01</t>
  </si>
  <si>
    <t>Product sorting</t>
  </si>
  <si>
    <t>Verify products can be sorted by price.</t>
  </si>
  <si>
    <t>TS_CART_01</t>
  </si>
  <si>
    <t>Add to cart</t>
  </si>
  <si>
    <t>Verify items added from the Products page appear in the cart and the badge count updates.</t>
  </si>
  <si>
    <t>TS_CART_02</t>
  </si>
  <si>
    <t>Remove from cart</t>
  </si>
  <si>
    <t>Verify items can be removed from the cart and the badge count updates.</t>
  </si>
  <si>
    <t>TS_CHK_01</t>
  </si>
  <si>
    <t>Checkout form validation</t>
  </si>
  <si>
    <t>Verify the checkout information form rejects missing required fields with the correct error.</t>
  </si>
  <si>
    <t>TS_CHK_02</t>
  </si>
  <si>
    <t>Cancel checkout</t>
  </si>
  <si>
    <t>Verify cancelling checkout returns the user to the cart with items kept.</t>
  </si>
  <si>
    <t>TS_E2E_01</t>
  </si>
  <si>
    <t>Complete purchase journey</t>
  </si>
  <si>
    <t>Verify a user can log in, add items, check out with correct totals, complete the order and log out.</t>
  </si>
  <si>
    <t>TS_API_01</t>
  </si>
  <si>
    <t>Retrieve users</t>
  </si>
  <si>
    <t>Verify single-user and paginated user list endpoints return the expected data.</t>
  </si>
  <si>
    <t>TS_API_02</t>
  </si>
  <si>
    <t>Create user</t>
  </si>
  <si>
    <t>Verify a user can be created from a JSON request body.</t>
  </si>
  <si>
    <t>TS_API_03</t>
  </si>
  <si>
    <t>Unknown user</t>
  </si>
  <si>
    <t>Verify requesting a non-existent user returns 404.</t>
  </si>
  <si>
    <t>API - Negative</t>
  </si>
  <si>
    <t>Test Case ID</t>
  </si>
  <si>
    <t>Title</t>
  </si>
  <si>
    <t>Preconditions</t>
  </si>
  <si>
    <t>Test Data</t>
  </si>
  <si>
    <t>Test Steps</t>
  </si>
  <si>
    <t>Expected Result</t>
  </si>
  <si>
    <t>Automation Status</t>
  </si>
  <si>
    <t>Feature File</t>
  </si>
  <si>
    <t>Tags</t>
  </si>
  <si>
    <t>Last Run Date</t>
  </si>
  <si>
    <t>Last Run Result</t>
  </si>
  <si>
    <t>Executed By</t>
  </si>
  <si>
    <t>Actual Result / Remarks</t>
  </si>
  <si>
    <t>Defect ID</t>
  </si>
  <si>
    <t>LOGIN_TC_001</t>
  </si>
  <si>
    <t>Login with Excel test data</t>
  </si>
  <si>
    <t>Login page is reachable.
TestData.xlsx contains row LOGIN_001.</t>
  </si>
  <si>
    <t>TestData.xlsx &gt; Login &gt; TestDataId LOGIN_001
(standard_user / secret_sauce)</t>
  </si>
  <si>
    <t>1. Open the login page.
2. Read the credentials for LOGIN_001 from the Excel file.
3. Enter the username and password and click Login.</t>
  </si>
  <si>
    <t>Products page is displayed.</t>
  </si>
  <si>
    <t>login/Login.feature</t>
  </si>
  <si>
    <t>@Browser @smoke @dataDriven</t>
  </si>
  <si>
    <t>Pass</t>
  </si>
  <si>
    <t>Automation (mvn clean test -Denv=qa)</t>
  </si>
  <si>
    <t>As expected</t>
  </si>
  <si>
    <t>LOGIN_TC_002</t>
  </si>
  <si>
    <t>Login with valid credentials</t>
  </si>
  <si>
    <t>Login page is reachable.</t>
  </si>
  <si>
    <t>Username: standard_user
Password: secret_sauce</t>
  </si>
  <si>
    <t>1. Open the login page.
2. Enter the username and password.
3. Click Login.</t>
  </si>
  <si>
    <t>@Browser @smoke</t>
  </si>
  <si>
    <t>LOGIN_OL_001</t>
  </si>
  <si>
    <t>Login as standard_user (expected: Passed)</t>
  </si>
  <si>
    <t>Login succeeds and the Products page is displayed.</t>
  </si>
  <si>
    <t>@Browser @parallel</t>
  </si>
  <si>
    <t>LOGIN_OL_002</t>
  </si>
  <si>
    <t>Login as manager (expected: Failed)</t>
  </si>
  <si>
    <t>Username: manager
Password: manager456</t>
  </si>
  <si>
    <t>Login is rejected and an error message is shown ("Epic sadface: Username and password do not match any user in this service"). User stays on the login page.</t>
  </si>
  <si>
    <t>LOGIN_OL_003</t>
  </si>
  <si>
    <t>Login as employee (expected: Failed)</t>
  </si>
  <si>
    <t>Username: employee
Password: employee789</t>
  </si>
  <si>
    <t>Login is rejected and an error message is shown. User stays on the login page.</t>
  </si>
  <si>
    <t>LOGIN_TC_003</t>
  </si>
  <si>
    <t>Open and close a new tab after login</t>
  </si>
  <si>
    <t>User can log in with LOGIN_001 test data.</t>
  </si>
  <si>
    <t>TestDataId LOGIN_001
URL: https://www.google.com/</t>
  </si>
  <si>
    <t>1. Log in using test data LOGIN_001.
2. Verify the Products page is displayed.
3. Open a new tab and go to https://www.google.com/.
4. Close the current tab.
5. Switch back to the original window.</t>
  </si>
  <si>
    <t>After switching back, the Products page is still displayed and the user is still logged in.</t>
  </si>
  <si>
    <t>@Browser @switchwindowtest</t>
  </si>
  <si>
    <t>LOGIN_TC_004</t>
  </si>
  <si>
    <t>Login as locked-out user</t>
  </si>
  <si>
    <t>Username: locked_out_user
Password: secret_sauce</t>
  </si>
  <si>
    <t>Login is rejected with "Epic sadface: Sorry, this user has been locked out." User stays on the login page.</t>
  </si>
  <si>
    <t>@Browser @locked_out</t>
  </si>
  <si>
    <t>PROD_TC_001</t>
  </si>
  <si>
    <t>Sort products by price (low to high)</t>
  </si>
  <si>
    <t>User is logged in as standard_user.</t>
  </si>
  <si>
    <t>Sort option: Price (low to high)</t>
  </si>
  <si>
    <t>1. On the Products page, open the sort drop-down.
2. Select 'Price (low to high)'.</t>
  </si>
  <si>
    <t>Products are listed in ascending order of price.</t>
  </si>
  <si>
    <t>products/Products.feature</t>
  </si>
  <si>
    <t>@Browser @Regression @sorting</t>
  </si>
  <si>
    <t>CART_TC_001</t>
  </si>
  <si>
    <t>Add an item to the cart</t>
  </si>
  <si>
    <t>Item: Sauce Labs Backpack</t>
  </si>
  <si>
    <t>1. Log in using test data LOGIN_001.
2. Click 'Add to cart' for Sauce Labs Backpack.
3. Check the cart badge.
4. Open the cart.</t>
  </si>
  <si>
    <t>Cart badge shows 1. Cart page is displayed and contains Sauce Labs Backpack.</t>
  </si>
  <si>
    <t>cart/Cart.feature</t>
  </si>
  <si>
    <t>@Browser @Regression @smoke @add_to_cart</t>
  </si>
  <si>
    <t>CART_TC_002</t>
  </si>
  <si>
    <t>Remove an item from the cart</t>
  </si>
  <si>
    <t>1. Log in as standard_user.
2. Add Sauce Labs Backpack to the cart.
3. Open the cart and confirm the item is listed.
4. Click 'Remove' for Sauce Labs Backpack.</t>
  </si>
  <si>
    <t>Item is removed from the cart list and the cart badge is no longer shown.</t>
  </si>
  <si>
    <t>@Browser @Regression @remove_from_cart</t>
  </si>
  <si>
    <t>CHECKOUT_TC_001</t>
  </si>
  <si>
    <t>Checkout requires first name</t>
  </si>
  <si>
    <t>User is logged in as standard_user with Sauce Labs Backpack in the cart, on checkout step one.</t>
  </si>
  <si>
    <t>First name: (empty)
Last name: Doe
Postal code: 12345</t>
  </si>
  <si>
    <t>1. Leave First Name empty, enter Last Name and Postal Code.
2. Click Continue.</t>
  </si>
  <si>
    <t>Error "Error: First Name is required" is displayed and the user stays on the form.</t>
  </si>
  <si>
    <t>checkout/CheckoutValidation.feature</t>
  </si>
  <si>
    <t>@Browser @Regression @checkout_validation</t>
  </si>
  <si>
    <t>CHECKOUT_TC_002</t>
  </si>
  <si>
    <t>Checkout requires last name</t>
  </si>
  <si>
    <t>Same as CHECKOUT_TC_001.</t>
  </si>
  <si>
    <t>First name: John
Last name: (empty)
Postal code: 12345</t>
  </si>
  <si>
    <t>1. Enter First Name and Postal Code, leave Last Name empty.
2. Click Continue.</t>
  </si>
  <si>
    <t>Error "Error: Last Name is required" is displayed and the user stays on the form.</t>
  </si>
  <si>
    <t>CHECKOUT_TC_003</t>
  </si>
  <si>
    <t>Checkout requires postal code</t>
  </si>
  <si>
    <t>First name: John
Last name: Doe
Postal code: (empty)</t>
  </si>
  <si>
    <t>1. Enter First Name and Last Name, leave Postal Code empty.
2. Click Continue.</t>
  </si>
  <si>
    <t>Error "Error: Postal Code is required" is displayed and the user stays on the form.</t>
  </si>
  <si>
    <t>CHECKOUT_TC_004</t>
  </si>
  <si>
    <t>Cancel checkout from information step</t>
  </si>
  <si>
    <t>1. Click Cancel on the checkout information page.</t>
  </si>
  <si>
    <t>Cart page is displayed and Sauce Labs Backpack is still in the cart.</t>
  </si>
  <si>
    <t>@Browser @Regression @cancel_checkout</t>
  </si>
  <si>
    <t>E2E_TC_001</t>
  </si>
  <si>
    <t>Standard user buys two items and logs out</t>
  </si>
  <si>
    <t>Login page is reachable. Cart is empty (new browser session).</t>
  </si>
  <si>
    <t>Username: standard_user / secret_sauce
Items: Sauce Labs Backpack, Sauce Labs Bike Light
Checkout: John / Doe / 12345</t>
  </si>
  <si>
    <t>1. Log in as standard_user.
2. Add Sauce Labs Backpack and Sauce Labs Bike Light to the cart.
3. Open the cart.
4. Click Checkout.
5. Enter John / Doe / 12345 and click Continue.
6. Review the order overview.
7. Click Finish.
8. Open the menu and click Logout.</t>
  </si>
  <si>
    <t>- Products page shown after login
- Cart badge shows 2
- Cart contains exactly the two items
- Overview lists exactly the two items
- Item total = sum of item prices
- Total = item total + tax
- Confirmation "Thank you for your order!" is shown and the cart badge is cleared
- Login page is shown after logout</t>
  </si>
  <si>
    <t>e2e/PurchaseFlow.feature</t>
  </si>
  <si>
    <t>@Browser @E2E @e2e @smoke</t>
  </si>
  <si>
    <t>API_TC_001</t>
  </si>
  <si>
    <t>Get a single user</t>
  </si>
  <si>
    <t>reqres.in is reachable.</t>
  </si>
  <si>
    <t>GET /users/2</t>
  </si>
  <si>
    <t>1. Send GET request to /users/2.
2. Store data.email for later use.</t>
  </si>
  <si>
    <t>Status 200. data.id = 2. data.email is present.</t>
  </si>
  <si>
    <t>api/API.feature</t>
  </si>
  <si>
    <t>@API @get_user</t>
  </si>
  <si>
    <t>API_TC_002</t>
  </si>
  <si>
    <t>List users on page 2</t>
  </si>
  <si>
    <t>GET /users?page=2</t>
  </si>
  <si>
    <t>1. Set query param page = 2.
2. Send GET request to /users.</t>
  </si>
  <si>
    <t>Status 200. page = 2. data[1].email is present.</t>
  </si>
  <si>
    <t>@API @get_listuser</t>
  </si>
  <si>
    <t>API_TC_003</t>
  </si>
  <si>
    <t>Create a user</t>
  </si>
  <si>
    <t>POST /users
Body: testdata/api/user.json
{"name": "morpheus", "job": "leader"}</t>
  </si>
  <si>
    <t>1. Load the request body from user.json.
2. Send POST request to /users.</t>
  </si>
  <si>
    <t>Status 201. name = "morpheus". id is present.</t>
  </si>
  <si>
    <t>@API @post_createuser</t>
  </si>
  <si>
    <t>API_TC_004</t>
  </si>
  <si>
    <t>Get a user that does not exist</t>
  </si>
  <si>
    <t>GET /users/23</t>
  </si>
  <si>
    <t>1. Send GET request to /users/23.</t>
  </si>
  <si>
    <t>Status 404. Response body is an empty JSON object ({}).</t>
  </si>
  <si>
    <t>@API @get_unknown_user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</si>
</sst>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4"/>
      <color rgb="FF1F3864"/>
      <name val="Arial"/>
    </font>
    <font>
      <b/>
      <sz val="11"/>
      <color rgb="FF1F3864"/>
      <name val="Arial"/>
    </font>
    <font>
      <b/>
      <sz val="10"/>
      <name val="Arial"/>
    </font>
    <font>
      <sz val="10"/>
      <name val="Arial"/>
    </font>
    <font>
      <b/>
      <sz val="11"/>
      <color rgb="FFFFFFFF"/>
      <name val="Arial"/>
    </font>
    <font>
      <i/>
      <sz val="9"/>
      <color rgb="FF595959"/>
      <name val="Arial"/>
    </font>
  </fonts>
  <fills count="5">
    <fill>
      <patternFill patternType="none"/>
    </fill>
    <fill>
      <patternFill patternType="gray125"/>
    </fill>
    <fill>
      <patternFill patternType="solid">
        <fgColor rgb="FFD9E1F2"/>
      </patternFill>
    </fill>
    <fill>
      <patternFill patternType="solid">
        <fgColor rgb="FFFFF2CC"/>
      </patternFill>
    </fill>
    <fill>
      <patternFill patternType="solid">
        <fgColor rgb="FF1F38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xf numFmtId="0" fontId="3" fillId="0" borderId="1" xfId="0" applyFont="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6" fillId="0" borderId="0" xfId="0" applyFont="1"/>
    <xf numFmtId="0" fontId="5" fillId="4" borderId="1" xfId="0" applyFont="1" applyFill="1" applyBorder="1" applyAlignment="1">
      <alignment horizontal="center" vertical="center" wrapText="1"/>
    </xf>
    <xf numFmtId="0" fontId="4" fillId="0" borderId="1" xfId="0" applyFont="1" applyBorder="1" applyAlignment="1">
      <alignment horizontal="center" vertical="top" wrapText="1"/>
    </xf>
    <xf numFmtId="164" fontId="4" fillId="0" borderId="1" xfId="0" applyNumberFormat="1" applyFont="1" applyBorder="1" applyAlignment="1">
      <alignment horizontal="center" vertical="top" wrapText="1"/>
    </xf>
    <xf numFmtId="0" fontId="2" fillId="0" borderId="0" xfId="0" applyFont="1"/>
    <xf numFmtId="0" fontId="3"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2" fillId="2" borderId="1" xfId="0" applyFont="1" applyFill="1" applyBorder="1"/>
    <xf numFmtId="0" fontId="0" fillId="0" borderId="2" xfId="0" applyBorder="1"/>
    <xf numFmtId="0" fontId="1" fillId="0" borderId="0" xfId="0" applyFont="1"/>
    <xf numFmtId="0" fontId="0" fillId="0" borderId="0" xfId="0"/>
  </cellXfs>
  <cellStyles count="1">
    <cellStyle name="Normal" xfId="0" builtinId="0"/>
  </cellStyles>
  <dxfs count="6">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abSelected="1" workbookViewId="0">
      <selection sqref="A1:B1"/>
    </sheetView>
  </sheetViews>
  <sheetFormatPr defaultRowHeight="15" x14ac:dyDescent="0.25"/>
  <cols>
    <col min="1" max="1" width="28" customWidth="1"/>
    <col min="2" max="2" width="110" customWidth="1"/>
  </cols>
  <sheetData>
    <row r="1" spans="1:2" ht="18" customHeight="1" x14ac:dyDescent="0.25">
      <c r="A1" s="14" t="s">
        <v>0</v>
      </c>
      <c r="B1" s="15"/>
    </row>
    <row r="3" spans="1:2" x14ac:dyDescent="0.25">
      <c r="A3" s="12" t="s">
        <v>1</v>
      </c>
      <c r="B3" s="13"/>
    </row>
    <row r="4" spans="1:2" x14ac:dyDescent="0.25">
      <c r="A4" s="2" t="s">
        <v>2</v>
      </c>
      <c r="B4" s="3" t="s">
        <v>3</v>
      </c>
    </row>
    <row r="5" spans="1:2" x14ac:dyDescent="0.25">
      <c r="A5" s="2" t="s">
        <v>4</v>
      </c>
      <c r="B5" s="3" t="s">
        <v>5</v>
      </c>
    </row>
    <row r="6" spans="1:2" x14ac:dyDescent="0.25">
      <c r="A6" s="2" t="s">
        <v>6</v>
      </c>
      <c r="B6" s="4"/>
    </row>
    <row r="7" spans="1:2" x14ac:dyDescent="0.25">
      <c r="A7" s="2" t="s">
        <v>7</v>
      </c>
      <c r="B7" s="4"/>
    </row>
    <row r="8" spans="1:2" x14ac:dyDescent="0.25">
      <c r="A8" s="12" t="s">
        <v>8</v>
      </c>
      <c r="B8" s="13"/>
    </row>
    <row r="9" spans="1:2" ht="25.5" customHeight="1" x14ac:dyDescent="0.25">
      <c r="A9" s="2" t="s">
        <v>9</v>
      </c>
      <c r="B9" s="3" t="s">
        <v>10</v>
      </c>
    </row>
    <row r="10" spans="1:2" x14ac:dyDescent="0.25">
      <c r="A10" s="12" t="s">
        <v>11</v>
      </c>
      <c r="B10" s="13"/>
    </row>
    <row r="11" spans="1:2" ht="89.25" customHeight="1" x14ac:dyDescent="0.25">
      <c r="A11" s="2" t="s">
        <v>12</v>
      </c>
      <c r="B11" s="3" t="s">
        <v>13</v>
      </c>
    </row>
    <row r="12" spans="1:2" ht="63.75" customHeight="1" x14ac:dyDescent="0.25">
      <c r="A12" s="2" t="s">
        <v>14</v>
      </c>
      <c r="B12" s="3" t="s">
        <v>15</v>
      </c>
    </row>
    <row r="13" spans="1:2" x14ac:dyDescent="0.25">
      <c r="A13" s="12" t="s">
        <v>16</v>
      </c>
      <c r="B13" s="13"/>
    </row>
    <row r="14" spans="1:2" x14ac:dyDescent="0.25">
      <c r="A14" s="2" t="s">
        <v>17</v>
      </c>
      <c r="B14" s="3" t="s">
        <v>18</v>
      </c>
    </row>
    <row r="15" spans="1:2" x14ac:dyDescent="0.25">
      <c r="A15" s="2" t="s">
        <v>19</v>
      </c>
      <c r="B15" s="3" t="s">
        <v>20</v>
      </c>
    </row>
    <row r="16" spans="1:2" x14ac:dyDescent="0.25">
      <c r="A16" s="12" t="s">
        <v>21</v>
      </c>
      <c r="B16" s="13"/>
    </row>
    <row r="17" spans="1:2" ht="25.5" customHeight="1" x14ac:dyDescent="0.25">
      <c r="A17" s="2" t="s">
        <v>22</v>
      </c>
      <c r="B17" s="3" t="s">
        <v>23</v>
      </c>
    </row>
    <row r="18" spans="1:2" ht="63.75" customHeight="1" x14ac:dyDescent="0.25">
      <c r="A18" s="2" t="s">
        <v>24</v>
      </c>
      <c r="B18" s="3" t="s">
        <v>25</v>
      </c>
    </row>
    <row r="19" spans="1:2" ht="25.5" customHeight="1" x14ac:dyDescent="0.25">
      <c r="A19" s="2" t="s">
        <v>26</v>
      </c>
      <c r="B19" s="3" t="s">
        <v>27</v>
      </c>
    </row>
    <row r="20" spans="1:2" x14ac:dyDescent="0.25">
      <c r="A20" s="2" t="s">
        <v>28</v>
      </c>
      <c r="B20" s="3" t="s">
        <v>29</v>
      </c>
    </row>
    <row r="21" spans="1:2" x14ac:dyDescent="0.25">
      <c r="A21" s="12" t="s">
        <v>30</v>
      </c>
      <c r="B21" s="13"/>
    </row>
    <row r="22" spans="1:2" x14ac:dyDescent="0.25">
      <c r="A22" s="2" t="s">
        <v>31</v>
      </c>
      <c r="B22" s="3" t="s">
        <v>32</v>
      </c>
    </row>
    <row r="23" spans="1:2" x14ac:dyDescent="0.25">
      <c r="A23" s="2" t="s">
        <v>33</v>
      </c>
      <c r="B23" s="3" t="s">
        <v>34</v>
      </c>
    </row>
    <row r="24" spans="1:2" x14ac:dyDescent="0.25">
      <c r="A24" s="2" t="s">
        <v>35</v>
      </c>
      <c r="B24" s="3" t="s">
        <v>36</v>
      </c>
    </row>
    <row r="25" spans="1:2" x14ac:dyDescent="0.25">
      <c r="A25" s="12" t="s">
        <v>37</v>
      </c>
      <c r="B25" s="13"/>
    </row>
    <row r="26" spans="1:2" ht="38.25" customHeight="1" x14ac:dyDescent="0.25">
      <c r="A26" s="2" t="s">
        <v>38</v>
      </c>
      <c r="B26" s="3" t="s">
        <v>39</v>
      </c>
    </row>
    <row r="27" spans="1:2" ht="25.5" customHeight="1" x14ac:dyDescent="0.25">
      <c r="A27" s="2" t="s">
        <v>40</v>
      </c>
      <c r="B27" s="3" t="s">
        <v>41</v>
      </c>
    </row>
    <row r="28" spans="1:2" x14ac:dyDescent="0.25">
      <c r="A28" s="12" t="s">
        <v>42</v>
      </c>
      <c r="B28" s="13"/>
    </row>
    <row r="29" spans="1:2" ht="51" customHeight="1" x14ac:dyDescent="0.25">
      <c r="A29" s="2" t="s">
        <v>43</v>
      </c>
      <c r="B29" s="3" t="s">
        <v>44</v>
      </c>
    </row>
    <row r="30" spans="1:2" x14ac:dyDescent="0.25">
      <c r="A30" s="12" t="s">
        <v>45</v>
      </c>
      <c r="B30" s="13"/>
    </row>
    <row r="31" spans="1:2" ht="51" customHeight="1" x14ac:dyDescent="0.25">
      <c r="A31" s="2" t="s">
        <v>46</v>
      </c>
      <c r="B31" s="3" t="s">
        <v>47</v>
      </c>
    </row>
    <row r="32" spans="1:2" x14ac:dyDescent="0.25">
      <c r="A32" s="12" t="s">
        <v>48</v>
      </c>
      <c r="B32" s="13"/>
    </row>
    <row r="33" spans="1:2" x14ac:dyDescent="0.25">
      <c r="A33" s="2" t="s">
        <v>49</v>
      </c>
      <c r="B33" s="3" t="s">
        <v>50</v>
      </c>
    </row>
    <row r="34" spans="1:2" x14ac:dyDescent="0.25">
      <c r="A34" s="2" t="s">
        <v>51</v>
      </c>
      <c r="B34" s="3" t="s">
        <v>52</v>
      </c>
    </row>
    <row r="35" spans="1:2" x14ac:dyDescent="0.25">
      <c r="A35" s="12" t="s">
        <v>53</v>
      </c>
      <c r="B35" s="13"/>
    </row>
    <row r="36" spans="1:2" ht="25.5" customHeight="1" x14ac:dyDescent="0.25">
      <c r="A36" s="2" t="s">
        <v>54</v>
      </c>
      <c r="B36" s="3" t="s">
        <v>55</v>
      </c>
    </row>
    <row r="37" spans="1:2" ht="25.5" customHeight="1" x14ac:dyDescent="0.25">
      <c r="A37" s="2" t="s">
        <v>56</v>
      </c>
      <c r="B37" s="3" t="s">
        <v>57</v>
      </c>
    </row>
    <row r="38" spans="1:2" ht="25.5" customHeight="1" x14ac:dyDescent="0.25">
      <c r="A38" s="2" t="s">
        <v>58</v>
      </c>
      <c r="B38" s="3" t="s">
        <v>59</v>
      </c>
    </row>
    <row r="39" spans="1:2" x14ac:dyDescent="0.25">
      <c r="A39" s="2" t="s">
        <v>60</v>
      </c>
      <c r="B39" s="3" t="s">
        <v>61</v>
      </c>
    </row>
    <row r="40" spans="1:2" ht="25.5" customHeight="1" x14ac:dyDescent="0.25">
      <c r="A40" s="2" t="s">
        <v>62</v>
      </c>
      <c r="B40" s="3" t="s">
        <v>63</v>
      </c>
    </row>
    <row r="41" spans="1:2" x14ac:dyDescent="0.25">
      <c r="A41" s="12" t="s">
        <v>64</v>
      </c>
      <c r="B41" s="13"/>
    </row>
    <row r="42" spans="1:2" ht="63.75" customHeight="1" x14ac:dyDescent="0.25">
      <c r="A42" s="2" t="s">
        <v>65</v>
      </c>
      <c r="B42" s="3" t="s">
        <v>66</v>
      </c>
    </row>
    <row r="43" spans="1:2" x14ac:dyDescent="0.25">
      <c r="A43" s="12" t="s">
        <v>67</v>
      </c>
      <c r="B43" s="13"/>
    </row>
    <row r="44" spans="1:2" ht="38.25" customHeight="1" x14ac:dyDescent="0.25">
      <c r="A44" s="2" t="s">
        <v>68</v>
      </c>
      <c r="B44" s="3" t="s">
        <v>69</v>
      </c>
    </row>
    <row r="45" spans="1:2" x14ac:dyDescent="0.25">
      <c r="A45" s="12" t="s">
        <v>70</v>
      </c>
      <c r="B45" s="13"/>
    </row>
    <row r="46" spans="1:2" x14ac:dyDescent="0.25">
      <c r="A46" s="2" t="s">
        <v>71</v>
      </c>
      <c r="B46" s="4"/>
    </row>
    <row r="47" spans="1:2" x14ac:dyDescent="0.25">
      <c r="A47" s="2" t="s">
        <v>72</v>
      </c>
      <c r="B47" s="4"/>
    </row>
    <row r="48" spans="1:2" x14ac:dyDescent="0.25">
      <c r="A48" s="2" t="s">
        <v>73</v>
      </c>
      <c r="B48" s="4"/>
    </row>
    <row r="49" spans="1:2" x14ac:dyDescent="0.25">
      <c r="A49" s="12" t="s">
        <v>74</v>
      </c>
      <c r="B49" s="13"/>
    </row>
    <row r="50" spans="1:2" ht="51" customHeight="1" x14ac:dyDescent="0.25">
      <c r="A50" s="2" t="s">
        <v>75</v>
      </c>
      <c r="B50" s="3" t="s">
        <v>76</v>
      </c>
    </row>
    <row r="51" spans="1:2" ht="38.25" customHeight="1" x14ac:dyDescent="0.25">
      <c r="A51" s="2" t="s">
        <v>77</v>
      </c>
      <c r="B51" s="3" t="s">
        <v>78</v>
      </c>
    </row>
    <row r="52" spans="1:2" ht="25.5" customHeight="1" x14ac:dyDescent="0.25">
      <c r="A52" s="2" t="s">
        <v>79</v>
      </c>
      <c r="B52" s="3" t="s">
        <v>80</v>
      </c>
    </row>
  </sheetData>
  <mergeCells count="16">
    <mergeCell ref="A1:B1"/>
    <mergeCell ref="A8:B8"/>
    <mergeCell ref="A3:B3"/>
    <mergeCell ref="A35:B35"/>
    <mergeCell ref="A49:B49"/>
    <mergeCell ref="A10:B10"/>
    <mergeCell ref="A28:B28"/>
    <mergeCell ref="A45:B45"/>
    <mergeCell ref="A32:B32"/>
    <mergeCell ref="A13:B13"/>
    <mergeCell ref="A21:B21"/>
    <mergeCell ref="A16:B16"/>
    <mergeCell ref="A30:B30"/>
    <mergeCell ref="A25:B25"/>
    <mergeCell ref="A43:B43"/>
    <mergeCell ref="A41:B4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workbookViewId="0"/>
  </sheetViews>
  <sheetFormatPr defaultRowHeight="15" x14ac:dyDescent="0.25"/>
  <cols>
    <col min="1" max="1" width="28" customWidth="1"/>
    <col min="2" max="3" width="12" customWidth="1"/>
    <col min="4" max="7" width="10" customWidth="1"/>
  </cols>
  <sheetData>
    <row r="1" spans="1:7" ht="18" customHeight="1" x14ac:dyDescent="0.25">
      <c r="A1" s="1" t="s">
        <v>81</v>
      </c>
    </row>
    <row r="2" spans="1:7" x14ac:dyDescent="0.25">
      <c r="A2" s="5" t="s">
        <v>82</v>
      </c>
    </row>
    <row r="3" spans="1:7" x14ac:dyDescent="0.25">
      <c r="A3" s="6" t="s">
        <v>83</v>
      </c>
      <c r="B3" s="6" t="s">
        <v>84</v>
      </c>
    </row>
    <row r="4" spans="1:7" x14ac:dyDescent="0.25">
      <c r="A4" s="3" t="s">
        <v>85</v>
      </c>
      <c r="B4" s="7">
        <f>COUNTA('Test Cases'!$A:$A)-1</f>
        <v>19</v>
      </c>
    </row>
    <row r="5" spans="1:7" x14ac:dyDescent="0.25">
      <c r="A5" s="3" t="s">
        <v>86</v>
      </c>
      <c r="B5" s="7">
        <f>COUNTIF('Test Cases'!$K:$K,"Automated")</f>
        <v>19</v>
      </c>
    </row>
    <row r="6" spans="1:7" x14ac:dyDescent="0.25">
      <c r="A6" s="3" t="s">
        <v>87</v>
      </c>
      <c r="B6" s="7">
        <f>COUNTIF('Test Cases'!$K:$K,"Not automated")</f>
        <v>0</v>
      </c>
    </row>
    <row r="7" spans="1:7" x14ac:dyDescent="0.25">
      <c r="A7" s="3" t="s">
        <v>88</v>
      </c>
      <c r="B7" s="8">
        <f>IF(B4=0,0,B5/B4)</f>
        <v>1</v>
      </c>
    </row>
    <row r="8" spans="1:7" x14ac:dyDescent="0.25">
      <c r="A8" s="3" t="s">
        <v>89</v>
      </c>
      <c r="B8" s="7">
        <f>COUNTIF('Test Cases'!$O:$O,"Pass")</f>
        <v>19</v>
      </c>
    </row>
    <row r="9" spans="1:7" x14ac:dyDescent="0.25">
      <c r="A9" s="3" t="s">
        <v>90</v>
      </c>
      <c r="B9" s="7">
        <f>COUNTIF('Test Cases'!$O:$O,"Fail")</f>
        <v>0</v>
      </c>
    </row>
    <row r="10" spans="1:7" x14ac:dyDescent="0.25">
      <c r="A10" s="3" t="s">
        <v>91</v>
      </c>
      <c r="B10" s="7">
        <f>COUNTIF('Test Cases'!$O:$O,"Blocked")</f>
        <v>0</v>
      </c>
    </row>
    <row r="11" spans="1:7" x14ac:dyDescent="0.25">
      <c r="A11" s="3" t="s">
        <v>92</v>
      </c>
      <c r="B11" s="7">
        <f>COUNTIF('Test Cases'!$O:$O,"Not Run")</f>
        <v>0</v>
      </c>
    </row>
    <row r="12" spans="1:7" x14ac:dyDescent="0.25">
      <c r="A12" s="3" t="s">
        <v>93</v>
      </c>
      <c r="B12" s="7">
        <f>B8+B9+B10</f>
        <v>19</v>
      </c>
    </row>
    <row r="13" spans="1:7" x14ac:dyDescent="0.25">
      <c r="A13" s="3" t="s">
        <v>94</v>
      </c>
      <c r="B13" s="8">
        <f>IF(B12=0,0,B8/B12)</f>
        <v>1</v>
      </c>
    </row>
    <row r="15" spans="1:7" x14ac:dyDescent="0.25">
      <c r="A15" s="9" t="s">
        <v>95</v>
      </c>
    </row>
    <row r="16" spans="1:7" ht="30" customHeight="1" x14ac:dyDescent="0.25">
      <c r="A16" s="6" t="s">
        <v>96</v>
      </c>
      <c r="B16" s="6" t="s">
        <v>97</v>
      </c>
      <c r="C16" s="6" t="s">
        <v>86</v>
      </c>
      <c r="D16" s="6" t="s">
        <v>89</v>
      </c>
      <c r="E16" s="6" t="s">
        <v>90</v>
      </c>
      <c r="F16" s="6" t="s">
        <v>91</v>
      </c>
      <c r="G16" s="6" t="s">
        <v>98</v>
      </c>
    </row>
    <row r="17" spans="1:7" x14ac:dyDescent="0.25">
      <c r="A17" s="3" t="s">
        <v>99</v>
      </c>
      <c r="B17" s="7">
        <f>COUNTIF('Test Cases'!$C:$C,A17)</f>
        <v>6</v>
      </c>
      <c r="C17" s="7">
        <f>COUNTIFS('Test Cases'!$C:$C,A17,'Test Cases'!$K:$K,"Automated")</f>
        <v>6</v>
      </c>
      <c r="D17" s="7">
        <f>COUNTIFS('Test Cases'!$C:$C,A17,'Test Cases'!$O:$O,"Pass")</f>
        <v>6</v>
      </c>
      <c r="E17" s="7">
        <f>COUNTIFS('Test Cases'!$C:$C,A17,'Test Cases'!$O:$O,"Fail")</f>
        <v>0</v>
      </c>
      <c r="F17" s="7">
        <f>COUNTIFS('Test Cases'!$C:$C,A17,'Test Cases'!$O:$O,"Blocked")</f>
        <v>0</v>
      </c>
      <c r="G17" s="7">
        <f>COUNTIFS('Test Cases'!$C:$C,A17,'Test Cases'!$O:$O,"Not Run")</f>
        <v>0</v>
      </c>
    </row>
    <row r="18" spans="1:7" x14ac:dyDescent="0.25">
      <c r="A18" s="3" t="s">
        <v>100</v>
      </c>
      <c r="B18" s="7">
        <f>COUNTIF('Test Cases'!$C:$C,A18)</f>
        <v>1</v>
      </c>
      <c r="C18" s="7">
        <f>COUNTIFS('Test Cases'!$C:$C,A18,'Test Cases'!$K:$K,"Automated")</f>
        <v>1</v>
      </c>
      <c r="D18" s="7">
        <f>COUNTIFS('Test Cases'!$C:$C,A18,'Test Cases'!$O:$O,"Pass")</f>
        <v>1</v>
      </c>
      <c r="E18" s="7">
        <f>COUNTIFS('Test Cases'!$C:$C,A18,'Test Cases'!$O:$O,"Fail")</f>
        <v>0</v>
      </c>
      <c r="F18" s="7">
        <f>COUNTIFS('Test Cases'!$C:$C,A18,'Test Cases'!$O:$O,"Blocked")</f>
        <v>0</v>
      </c>
      <c r="G18" s="7">
        <f>COUNTIFS('Test Cases'!$C:$C,A18,'Test Cases'!$O:$O,"Not Run")</f>
        <v>0</v>
      </c>
    </row>
    <row r="19" spans="1:7" x14ac:dyDescent="0.25">
      <c r="A19" s="3" t="s">
        <v>101</v>
      </c>
      <c r="B19" s="7">
        <f>COUNTIF('Test Cases'!$C:$C,A19)</f>
        <v>1</v>
      </c>
      <c r="C19" s="7">
        <f>COUNTIFS('Test Cases'!$C:$C,A19,'Test Cases'!$K:$K,"Automated")</f>
        <v>1</v>
      </c>
      <c r="D19" s="7">
        <f>COUNTIFS('Test Cases'!$C:$C,A19,'Test Cases'!$O:$O,"Pass")</f>
        <v>1</v>
      </c>
      <c r="E19" s="7">
        <f>COUNTIFS('Test Cases'!$C:$C,A19,'Test Cases'!$O:$O,"Fail")</f>
        <v>0</v>
      </c>
      <c r="F19" s="7">
        <f>COUNTIFS('Test Cases'!$C:$C,A19,'Test Cases'!$O:$O,"Blocked")</f>
        <v>0</v>
      </c>
      <c r="G19" s="7">
        <f>COUNTIFS('Test Cases'!$C:$C,A19,'Test Cases'!$O:$O,"Not Run")</f>
        <v>0</v>
      </c>
    </row>
    <row r="20" spans="1:7" x14ac:dyDescent="0.25">
      <c r="A20" s="3" t="s">
        <v>102</v>
      </c>
      <c r="B20" s="7">
        <f>COUNTIF('Test Cases'!$C:$C,A20)</f>
        <v>2</v>
      </c>
      <c r="C20" s="7">
        <f>COUNTIFS('Test Cases'!$C:$C,A20,'Test Cases'!$K:$K,"Automated")</f>
        <v>2</v>
      </c>
      <c r="D20" s="7">
        <f>COUNTIFS('Test Cases'!$C:$C,A20,'Test Cases'!$O:$O,"Pass")</f>
        <v>2</v>
      </c>
      <c r="E20" s="7">
        <f>COUNTIFS('Test Cases'!$C:$C,A20,'Test Cases'!$O:$O,"Fail")</f>
        <v>0</v>
      </c>
      <c r="F20" s="7">
        <f>COUNTIFS('Test Cases'!$C:$C,A20,'Test Cases'!$O:$O,"Blocked")</f>
        <v>0</v>
      </c>
      <c r="G20" s="7">
        <f>COUNTIFS('Test Cases'!$C:$C,A20,'Test Cases'!$O:$O,"Not Run")</f>
        <v>0</v>
      </c>
    </row>
    <row r="21" spans="1:7" x14ac:dyDescent="0.25">
      <c r="A21" s="3" t="s">
        <v>103</v>
      </c>
      <c r="B21" s="7">
        <f>COUNTIF('Test Cases'!$C:$C,A21)</f>
        <v>4</v>
      </c>
      <c r="C21" s="7">
        <f>COUNTIFS('Test Cases'!$C:$C,A21,'Test Cases'!$K:$K,"Automated")</f>
        <v>4</v>
      </c>
      <c r="D21" s="7">
        <f>COUNTIFS('Test Cases'!$C:$C,A21,'Test Cases'!$O:$O,"Pass")</f>
        <v>4</v>
      </c>
      <c r="E21" s="7">
        <f>COUNTIFS('Test Cases'!$C:$C,A21,'Test Cases'!$O:$O,"Fail")</f>
        <v>0</v>
      </c>
      <c r="F21" s="7">
        <f>COUNTIFS('Test Cases'!$C:$C,A21,'Test Cases'!$O:$O,"Blocked")</f>
        <v>0</v>
      </c>
      <c r="G21" s="7">
        <f>COUNTIFS('Test Cases'!$C:$C,A21,'Test Cases'!$O:$O,"Not Run")</f>
        <v>0</v>
      </c>
    </row>
    <row r="22" spans="1:7" x14ac:dyDescent="0.25">
      <c r="A22" s="3" t="s">
        <v>104</v>
      </c>
      <c r="B22" s="7">
        <f>COUNTIF('Test Cases'!$C:$C,A22)</f>
        <v>1</v>
      </c>
      <c r="C22" s="7">
        <f>COUNTIFS('Test Cases'!$C:$C,A22,'Test Cases'!$K:$K,"Automated")</f>
        <v>1</v>
      </c>
      <c r="D22" s="7">
        <f>COUNTIFS('Test Cases'!$C:$C,A22,'Test Cases'!$O:$O,"Pass")</f>
        <v>1</v>
      </c>
      <c r="E22" s="7">
        <f>COUNTIFS('Test Cases'!$C:$C,A22,'Test Cases'!$O:$O,"Fail")</f>
        <v>0</v>
      </c>
      <c r="F22" s="7">
        <f>COUNTIFS('Test Cases'!$C:$C,A22,'Test Cases'!$O:$O,"Blocked")</f>
        <v>0</v>
      </c>
      <c r="G22" s="7">
        <f>COUNTIFS('Test Cases'!$C:$C,A22,'Test Cases'!$O:$O,"Not Run")</f>
        <v>0</v>
      </c>
    </row>
    <row r="23" spans="1:7" x14ac:dyDescent="0.25">
      <c r="A23" s="3" t="s">
        <v>105</v>
      </c>
      <c r="B23" s="7">
        <f>COUNTIF('Test Cases'!$C:$C,A23)</f>
        <v>4</v>
      </c>
      <c r="C23" s="7">
        <f>COUNTIFS('Test Cases'!$C:$C,A23,'Test Cases'!$K:$K,"Automated")</f>
        <v>4</v>
      </c>
      <c r="D23" s="7">
        <f>COUNTIFS('Test Cases'!$C:$C,A23,'Test Cases'!$O:$O,"Pass")</f>
        <v>4</v>
      </c>
      <c r="E23" s="7">
        <f>COUNTIFS('Test Cases'!$C:$C,A23,'Test Cases'!$O:$O,"Fail")</f>
        <v>0</v>
      </c>
      <c r="F23" s="7">
        <f>COUNTIFS('Test Cases'!$C:$C,A23,'Test Cases'!$O:$O,"Blocked")</f>
        <v>0</v>
      </c>
      <c r="G23" s="7">
        <f>COUNTIFS('Test Cases'!$C:$C,A23,'Test Cases'!$O:$O,"Not Run")</f>
        <v>0</v>
      </c>
    </row>
    <row r="24" spans="1:7" x14ac:dyDescent="0.25">
      <c r="A24" s="2" t="s">
        <v>106</v>
      </c>
      <c r="B24" s="10">
        <f t="shared" ref="B24:G24" si="0">SUM(B17:B23)</f>
        <v>19</v>
      </c>
      <c r="C24" s="10">
        <f t="shared" si="0"/>
        <v>19</v>
      </c>
      <c r="D24" s="10">
        <f t="shared" si="0"/>
        <v>19</v>
      </c>
      <c r="E24" s="10">
        <f t="shared" si="0"/>
        <v>0</v>
      </c>
      <c r="F24" s="10">
        <f t="shared" si="0"/>
        <v>0</v>
      </c>
      <c r="G24" s="10">
        <f t="shared" si="0"/>
        <v>0</v>
      </c>
    </row>
    <row r="26" spans="1:7" x14ac:dyDescent="0.25">
      <c r="A26" s="9" t="s">
        <v>107</v>
      </c>
    </row>
    <row r="27" spans="1:7" ht="30" customHeight="1" x14ac:dyDescent="0.25">
      <c r="A27" s="6" t="s">
        <v>108</v>
      </c>
      <c r="B27" s="6" t="s">
        <v>97</v>
      </c>
      <c r="C27" s="6" t="s">
        <v>89</v>
      </c>
      <c r="D27" s="6" t="s">
        <v>98</v>
      </c>
    </row>
    <row r="28" spans="1:7" x14ac:dyDescent="0.25">
      <c r="A28" s="3" t="s">
        <v>109</v>
      </c>
      <c r="B28" s="7">
        <f>COUNTIF('Test Cases'!$I:$I,A28)</f>
        <v>1</v>
      </c>
      <c r="C28" s="7">
        <f>COUNTIFS('Test Cases'!$I:$I,A28,'Test Cases'!$O:$O,"Pass")</f>
        <v>1</v>
      </c>
      <c r="D28" s="7">
        <f>COUNTIFS('Test Cases'!$I:$I,A28,'Test Cases'!$O:$O,"Not Run")</f>
        <v>0</v>
      </c>
    </row>
    <row r="29" spans="1:7" x14ac:dyDescent="0.25">
      <c r="A29" s="3" t="s">
        <v>110</v>
      </c>
      <c r="B29" s="7">
        <f>COUNTIF('Test Cases'!$I:$I,A29)</f>
        <v>12</v>
      </c>
      <c r="C29" s="7">
        <f>COUNTIFS('Test Cases'!$I:$I,A29,'Test Cases'!$O:$O,"Pass")</f>
        <v>12</v>
      </c>
      <c r="D29" s="7">
        <f>COUNTIFS('Test Cases'!$I:$I,A29,'Test Cases'!$O:$O,"Not Run")</f>
        <v>0</v>
      </c>
    </row>
    <row r="30" spans="1:7" x14ac:dyDescent="0.25">
      <c r="A30" s="3" t="s">
        <v>111</v>
      </c>
      <c r="B30" s="7">
        <f>COUNTIF('Test Cases'!$I:$I,A30)</f>
        <v>4</v>
      </c>
      <c r="C30" s="7">
        <f>COUNTIFS('Test Cases'!$I:$I,A30,'Test Cases'!$O:$O,"Pass")</f>
        <v>4</v>
      </c>
      <c r="D30" s="7">
        <f>COUNTIFS('Test Cases'!$I:$I,A30,'Test Cases'!$O:$O,"Not Run")</f>
        <v>0</v>
      </c>
    </row>
    <row r="31" spans="1:7" x14ac:dyDescent="0.25">
      <c r="A31" s="3" t="s">
        <v>112</v>
      </c>
      <c r="B31" s="7">
        <f>COUNTIF('Test Cases'!$I:$I,A31)</f>
        <v>2</v>
      </c>
      <c r="C31" s="7">
        <f>COUNTIFS('Test Cases'!$I:$I,A31,'Test Cases'!$O:$O,"Pass")</f>
        <v>2</v>
      </c>
      <c r="D31" s="7">
        <f>COUNTIFS('Test Cases'!$I:$I,A31,'Test Cases'!$O:$O,"Not Run")</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 width="16" customWidth="1"/>
    <col min="3" max="3" width="26" customWidth="1"/>
    <col min="4" max="4" width="60" customWidth="1"/>
    <col min="5" max="5" width="10" customWidth="1"/>
    <col min="6" max="6" width="20" customWidth="1"/>
    <col min="7" max="8" width="11" customWidth="1"/>
    <col min="9" max="9" width="9" customWidth="1"/>
    <col min="10" max="10" width="16" customWidth="1"/>
  </cols>
  <sheetData>
    <row r="1" spans="1:10" ht="30" customHeight="1" x14ac:dyDescent="0.25">
      <c r="A1" s="6" t="s">
        <v>113</v>
      </c>
      <c r="B1" s="6" t="s">
        <v>96</v>
      </c>
      <c r="C1" s="6" t="s">
        <v>114</v>
      </c>
      <c r="D1" s="6" t="s">
        <v>115</v>
      </c>
      <c r="E1" s="6" t="s">
        <v>108</v>
      </c>
      <c r="F1" s="6" t="s">
        <v>116</v>
      </c>
      <c r="G1" s="6" t="s">
        <v>97</v>
      </c>
      <c r="H1" s="6" t="s">
        <v>86</v>
      </c>
      <c r="I1" s="6" t="s">
        <v>89</v>
      </c>
      <c r="J1" s="6" t="s">
        <v>117</v>
      </c>
    </row>
    <row r="2" spans="1:10" ht="25.5" customHeight="1" x14ac:dyDescent="0.25">
      <c r="A2" s="3" t="s">
        <v>118</v>
      </c>
      <c r="B2" s="3" t="s">
        <v>99</v>
      </c>
      <c r="C2" s="3" t="s">
        <v>119</v>
      </c>
      <c r="D2" s="3" t="s">
        <v>120</v>
      </c>
      <c r="E2" s="7" t="s">
        <v>110</v>
      </c>
      <c r="F2" s="3" t="s">
        <v>121</v>
      </c>
      <c r="G2" s="7">
        <f>COUNTIF('Test Cases'!$B:$B,A2)</f>
        <v>2</v>
      </c>
      <c r="H2" s="7">
        <f>COUNTIFS('Test Cases'!$B:$B,A2,'Test Cases'!$K:$K,"Automated")</f>
        <v>2</v>
      </c>
      <c r="I2" s="7">
        <f>COUNTIFS('Test Cases'!$B:$B,A2,'Test Cases'!$O:$O,"Pass")</f>
        <v>2</v>
      </c>
      <c r="J2" s="7" t="str">
        <f>IF(COUNTIFS('Test Cases'!$B:$B,A2,'Test Cases'!$O:$O,"Fail")&gt;0,"Fail",IF(I2=G2,"Pass",IF(I2&gt;0,"Partially passed","Not run")))</f>
        <v>Pass</v>
      </c>
    </row>
    <row r="3" spans="1:10" x14ac:dyDescent="0.25">
      <c r="A3" s="3" t="s">
        <v>122</v>
      </c>
      <c r="B3" s="3" t="s">
        <v>99</v>
      </c>
      <c r="C3" s="3" t="s">
        <v>123</v>
      </c>
      <c r="D3" s="3" t="s">
        <v>124</v>
      </c>
      <c r="E3" s="7" t="s">
        <v>110</v>
      </c>
      <c r="F3" s="3" t="s">
        <v>125</v>
      </c>
      <c r="G3" s="7">
        <f>COUNTIF('Test Cases'!$B:$B,A3)</f>
        <v>2</v>
      </c>
      <c r="H3" s="7">
        <f>COUNTIFS('Test Cases'!$B:$B,A3,'Test Cases'!$K:$K,"Automated")</f>
        <v>2</v>
      </c>
      <c r="I3" s="7">
        <f>COUNTIFS('Test Cases'!$B:$B,A3,'Test Cases'!$O:$O,"Pass")</f>
        <v>2</v>
      </c>
      <c r="J3" s="7" t="str">
        <f>IF(COUNTIFS('Test Cases'!$B:$B,A3,'Test Cases'!$O:$O,"Fail")&gt;0,"Fail",IF(I3=G3,"Pass",IF(I3&gt;0,"Partially passed","Not run")))</f>
        <v>Pass</v>
      </c>
    </row>
    <row r="4" spans="1:10" x14ac:dyDescent="0.25">
      <c r="A4" s="3" t="s">
        <v>126</v>
      </c>
      <c r="B4" s="3" t="s">
        <v>99</v>
      </c>
      <c r="C4" s="3" t="s">
        <v>127</v>
      </c>
      <c r="D4" s="3" t="s">
        <v>128</v>
      </c>
      <c r="E4" s="7" t="s">
        <v>111</v>
      </c>
      <c r="F4" s="3" t="s">
        <v>129</v>
      </c>
      <c r="G4" s="7">
        <f>COUNTIF('Test Cases'!$B:$B,A4)</f>
        <v>1</v>
      </c>
      <c r="H4" s="7">
        <f>COUNTIFS('Test Cases'!$B:$B,A4,'Test Cases'!$K:$K,"Automated")</f>
        <v>1</v>
      </c>
      <c r="I4" s="7">
        <f>COUNTIFS('Test Cases'!$B:$B,A4,'Test Cases'!$O:$O,"Pass")</f>
        <v>1</v>
      </c>
      <c r="J4" s="7" t="str">
        <f>IF(COUNTIFS('Test Cases'!$B:$B,A4,'Test Cases'!$O:$O,"Fail")&gt;0,"Fail",IF(I4=G4,"Pass",IF(I4&gt;0,"Partially passed","Not run")))</f>
        <v>Pass</v>
      </c>
    </row>
    <row r="5" spans="1:10" ht="25.5" customHeight="1" x14ac:dyDescent="0.25">
      <c r="A5" s="3" t="s">
        <v>130</v>
      </c>
      <c r="B5" s="3" t="s">
        <v>99</v>
      </c>
      <c r="C5" s="3" t="s">
        <v>131</v>
      </c>
      <c r="D5" s="3" t="s">
        <v>132</v>
      </c>
      <c r="E5" s="7" t="s">
        <v>111</v>
      </c>
      <c r="F5" s="3" t="s">
        <v>125</v>
      </c>
      <c r="G5" s="7">
        <f>COUNTIF('Test Cases'!$B:$B,A5)</f>
        <v>1</v>
      </c>
      <c r="H5" s="7">
        <f>COUNTIFS('Test Cases'!$B:$B,A5,'Test Cases'!$K:$K,"Automated")</f>
        <v>1</v>
      </c>
      <c r="I5" s="7">
        <f>COUNTIFS('Test Cases'!$B:$B,A5,'Test Cases'!$O:$O,"Pass")</f>
        <v>1</v>
      </c>
      <c r="J5" s="7" t="str">
        <f>IF(COUNTIFS('Test Cases'!$B:$B,A5,'Test Cases'!$O:$O,"Fail")&gt;0,"Fail",IF(I5=G5,"Pass",IF(I5&gt;0,"Partially passed","Not run")))</f>
        <v>Pass</v>
      </c>
    </row>
    <row r="6" spans="1:10" ht="25.5" customHeight="1" x14ac:dyDescent="0.25">
      <c r="A6" s="3" t="s">
        <v>133</v>
      </c>
      <c r="B6" s="3" t="s">
        <v>100</v>
      </c>
      <c r="C6" s="3" t="s">
        <v>134</v>
      </c>
      <c r="D6" s="3" t="s">
        <v>135</v>
      </c>
      <c r="E6" s="7" t="s">
        <v>112</v>
      </c>
      <c r="F6" s="3" t="s">
        <v>121</v>
      </c>
      <c r="G6" s="7">
        <f>COUNTIF('Test Cases'!$B:$B,A6)</f>
        <v>1</v>
      </c>
      <c r="H6" s="7">
        <f>COUNTIFS('Test Cases'!$B:$B,A6,'Test Cases'!$K:$K,"Automated")</f>
        <v>1</v>
      </c>
      <c r="I6" s="7">
        <f>COUNTIFS('Test Cases'!$B:$B,A6,'Test Cases'!$O:$O,"Pass")</f>
        <v>1</v>
      </c>
      <c r="J6" s="7" t="str">
        <f>IF(COUNTIFS('Test Cases'!$B:$B,A6,'Test Cases'!$O:$O,"Fail")&gt;0,"Fail",IF(I6=G6,"Pass",IF(I6&gt;0,"Partially passed","Not run")))</f>
        <v>Pass</v>
      </c>
    </row>
    <row r="7" spans="1:10" x14ac:dyDescent="0.25">
      <c r="A7" s="3" t="s">
        <v>136</v>
      </c>
      <c r="B7" s="3" t="s">
        <v>101</v>
      </c>
      <c r="C7" s="3" t="s">
        <v>137</v>
      </c>
      <c r="D7" s="3" t="s">
        <v>138</v>
      </c>
      <c r="E7" s="7" t="s">
        <v>111</v>
      </c>
      <c r="F7" s="3" t="s">
        <v>121</v>
      </c>
      <c r="G7" s="7">
        <f>COUNTIF('Test Cases'!$B:$B,A7)</f>
        <v>1</v>
      </c>
      <c r="H7" s="7">
        <f>COUNTIFS('Test Cases'!$B:$B,A7,'Test Cases'!$K:$K,"Automated")</f>
        <v>1</v>
      </c>
      <c r="I7" s="7">
        <f>COUNTIFS('Test Cases'!$B:$B,A7,'Test Cases'!$O:$O,"Pass")</f>
        <v>1</v>
      </c>
      <c r="J7" s="7" t="str">
        <f>IF(COUNTIFS('Test Cases'!$B:$B,A7,'Test Cases'!$O:$O,"Fail")&gt;0,"Fail",IF(I7=G7,"Pass",IF(I7&gt;0,"Partially passed","Not run")))</f>
        <v>Pass</v>
      </c>
    </row>
    <row r="8" spans="1:10" ht="25.5" customHeight="1" x14ac:dyDescent="0.25">
      <c r="A8" s="3" t="s">
        <v>139</v>
      </c>
      <c r="B8" s="3" t="s">
        <v>102</v>
      </c>
      <c r="C8" s="3" t="s">
        <v>140</v>
      </c>
      <c r="D8" s="3" t="s">
        <v>141</v>
      </c>
      <c r="E8" s="7" t="s">
        <v>110</v>
      </c>
      <c r="F8" s="3" t="s">
        <v>121</v>
      </c>
      <c r="G8" s="7">
        <f>COUNTIF('Test Cases'!$B:$B,A8)</f>
        <v>1</v>
      </c>
      <c r="H8" s="7">
        <f>COUNTIFS('Test Cases'!$B:$B,A8,'Test Cases'!$K:$K,"Automated")</f>
        <v>1</v>
      </c>
      <c r="I8" s="7">
        <f>COUNTIFS('Test Cases'!$B:$B,A8,'Test Cases'!$O:$O,"Pass")</f>
        <v>1</v>
      </c>
      <c r="J8" s="7" t="str">
        <f>IF(COUNTIFS('Test Cases'!$B:$B,A8,'Test Cases'!$O:$O,"Fail")&gt;0,"Fail",IF(I8=G8,"Pass",IF(I8&gt;0,"Partially passed","Not run")))</f>
        <v>Pass</v>
      </c>
    </row>
    <row r="9" spans="1:10" ht="25.5" customHeight="1" x14ac:dyDescent="0.25">
      <c r="A9" s="3" t="s">
        <v>142</v>
      </c>
      <c r="B9" s="3" t="s">
        <v>102</v>
      </c>
      <c r="C9" s="3" t="s">
        <v>143</v>
      </c>
      <c r="D9" s="3" t="s">
        <v>144</v>
      </c>
      <c r="E9" s="7" t="s">
        <v>111</v>
      </c>
      <c r="F9" s="3" t="s">
        <v>121</v>
      </c>
      <c r="G9" s="7">
        <f>COUNTIF('Test Cases'!$B:$B,A9)</f>
        <v>1</v>
      </c>
      <c r="H9" s="7">
        <f>COUNTIFS('Test Cases'!$B:$B,A9,'Test Cases'!$K:$K,"Automated")</f>
        <v>1</v>
      </c>
      <c r="I9" s="7">
        <f>COUNTIFS('Test Cases'!$B:$B,A9,'Test Cases'!$O:$O,"Pass")</f>
        <v>1</v>
      </c>
      <c r="J9" s="7" t="str">
        <f>IF(COUNTIFS('Test Cases'!$B:$B,A9,'Test Cases'!$O:$O,"Fail")&gt;0,"Fail",IF(I9=G9,"Pass",IF(I9&gt;0,"Partially passed","Not run")))</f>
        <v>Pass</v>
      </c>
    </row>
    <row r="10" spans="1:10" ht="25.5" customHeight="1" x14ac:dyDescent="0.25">
      <c r="A10" s="3" t="s">
        <v>145</v>
      </c>
      <c r="B10" s="3" t="s">
        <v>103</v>
      </c>
      <c r="C10" s="3" t="s">
        <v>146</v>
      </c>
      <c r="D10" s="3" t="s">
        <v>147</v>
      </c>
      <c r="E10" s="7" t="s">
        <v>110</v>
      </c>
      <c r="F10" s="3" t="s">
        <v>125</v>
      </c>
      <c r="G10" s="7">
        <f>COUNTIF('Test Cases'!$B:$B,A10)</f>
        <v>3</v>
      </c>
      <c r="H10" s="7">
        <f>COUNTIFS('Test Cases'!$B:$B,A10,'Test Cases'!$K:$K,"Automated")</f>
        <v>3</v>
      </c>
      <c r="I10" s="7">
        <f>COUNTIFS('Test Cases'!$B:$B,A10,'Test Cases'!$O:$O,"Pass")</f>
        <v>3</v>
      </c>
      <c r="J10" s="7" t="str">
        <f>IF(COUNTIFS('Test Cases'!$B:$B,A10,'Test Cases'!$O:$O,"Fail")&gt;0,"Fail",IF(I10=G10,"Pass",IF(I10&gt;0,"Partially passed","Not run")))</f>
        <v>Pass</v>
      </c>
    </row>
    <row r="11" spans="1:10" ht="25.5" customHeight="1" x14ac:dyDescent="0.25">
      <c r="A11" s="3" t="s">
        <v>148</v>
      </c>
      <c r="B11" s="3" t="s">
        <v>103</v>
      </c>
      <c r="C11" s="3" t="s">
        <v>149</v>
      </c>
      <c r="D11" s="3" t="s">
        <v>150</v>
      </c>
      <c r="E11" s="7" t="s">
        <v>112</v>
      </c>
      <c r="F11" s="3" t="s">
        <v>121</v>
      </c>
      <c r="G11" s="7">
        <f>COUNTIF('Test Cases'!$B:$B,A11)</f>
        <v>1</v>
      </c>
      <c r="H11" s="7">
        <f>COUNTIFS('Test Cases'!$B:$B,A11,'Test Cases'!$K:$K,"Automated")</f>
        <v>1</v>
      </c>
      <c r="I11" s="7">
        <f>COUNTIFS('Test Cases'!$B:$B,A11,'Test Cases'!$O:$O,"Pass")</f>
        <v>1</v>
      </c>
      <c r="J11" s="7" t="str">
        <f>IF(COUNTIFS('Test Cases'!$B:$B,A11,'Test Cases'!$O:$O,"Fail")&gt;0,"Fail",IF(I11=G11,"Pass",IF(I11&gt;0,"Partially passed","Not run")))</f>
        <v>Pass</v>
      </c>
    </row>
    <row r="12" spans="1:10" ht="25.5" customHeight="1" x14ac:dyDescent="0.25">
      <c r="A12" s="3" t="s">
        <v>151</v>
      </c>
      <c r="B12" s="3" t="s">
        <v>104</v>
      </c>
      <c r="C12" s="3" t="s">
        <v>152</v>
      </c>
      <c r="D12" s="3" t="s">
        <v>153</v>
      </c>
      <c r="E12" s="7" t="s">
        <v>109</v>
      </c>
      <c r="F12" s="3" t="s">
        <v>104</v>
      </c>
      <c r="G12" s="7">
        <f>COUNTIF('Test Cases'!$B:$B,A12)</f>
        <v>1</v>
      </c>
      <c r="H12" s="7">
        <f>COUNTIFS('Test Cases'!$B:$B,A12,'Test Cases'!$K:$K,"Automated")</f>
        <v>1</v>
      </c>
      <c r="I12" s="7">
        <f>COUNTIFS('Test Cases'!$B:$B,A12,'Test Cases'!$O:$O,"Pass")</f>
        <v>1</v>
      </c>
      <c r="J12" s="7" t="str">
        <f>IF(COUNTIFS('Test Cases'!$B:$B,A12,'Test Cases'!$O:$O,"Fail")&gt;0,"Fail",IF(I12=G12,"Pass",IF(I12&gt;0,"Partially passed","Not run")))</f>
        <v>Pass</v>
      </c>
    </row>
    <row r="13" spans="1:10" ht="25.5" customHeight="1" x14ac:dyDescent="0.25">
      <c r="A13" s="3" t="s">
        <v>154</v>
      </c>
      <c r="B13" s="3" t="s">
        <v>105</v>
      </c>
      <c r="C13" s="3" t="s">
        <v>155</v>
      </c>
      <c r="D13" s="3" t="s">
        <v>156</v>
      </c>
      <c r="E13" s="7" t="s">
        <v>110</v>
      </c>
      <c r="F13" s="3" t="s">
        <v>19</v>
      </c>
      <c r="G13" s="7">
        <f>COUNTIF('Test Cases'!$B:$B,A13)</f>
        <v>2</v>
      </c>
      <c r="H13" s="7">
        <f>COUNTIFS('Test Cases'!$B:$B,A13,'Test Cases'!$K:$K,"Automated")</f>
        <v>2</v>
      </c>
      <c r="I13" s="7">
        <f>COUNTIFS('Test Cases'!$B:$B,A13,'Test Cases'!$O:$O,"Pass")</f>
        <v>2</v>
      </c>
      <c r="J13" s="7" t="str">
        <f>IF(COUNTIFS('Test Cases'!$B:$B,A13,'Test Cases'!$O:$O,"Fail")&gt;0,"Fail",IF(I13=G13,"Pass",IF(I13&gt;0,"Partially passed","Not run")))</f>
        <v>Pass</v>
      </c>
    </row>
    <row r="14" spans="1:10" x14ac:dyDescent="0.25">
      <c r="A14" s="3" t="s">
        <v>157</v>
      </c>
      <c r="B14" s="3" t="s">
        <v>105</v>
      </c>
      <c r="C14" s="3" t="s">
        <v>158</v>
      </c>
      <c r="D14" s="3" t="s">
        <v>159</v>
      </c>
      <c r="E14" s="7" t="s">
        <v>110</v>
      </c>
      <c r="F14" s="3" t="s">
        <v>19</v>
      </c>
      <c r="G14" s="7">
        <f>COUNTIF('Test Cases'!$B:$B,A14)</f>
        <v>1</v>
      </c>
      <c r="H14" s="7">
        <f>COUNTIFS('Test Cases'!$B:$B,A14,'Test Cases'!$K:$K,"Automated")</f>
        <v>1</v>
      </c>
      <c r="I14" s="7">
        <f>COUNTIFS('Test Cases'!$B:$B,A14,'Test Cases'!$O:$O,"Pass")</f>
        <v>1</v>
      </c>
      <c r="J14" s="7" t="str">
        <f>IF(COUNTIFS('Test Cases'!$B:$B,A14,'Test Cases'!$O:$O,"Fail")&gt;0,"Fail",IF(I14=G14,"Pass",IF(I14&gt;0,"Partially passed","Not run")))</f>
        <v>Pass</v>
      </c>
    </row>
    <row r="15" spans="1:10" x14ac:dyDescent="0.25">
      <c r="A15" s="3" t="s">
        <v>160</v>
      </c>
      <c r="B15" s="3" t="s">
        <v>105</v>
      </c>
      <c r="C15" s="3" t="s">
        <v>161</v>
      </c>
      <c r="D15" s="3" t="s">
        <v>162</v>
      </c>
      <c r="E15" s="7" t="s">
        <v>111</v>
      </c>
      <c r="F15" s="3" t="s">
        <v>163</v>
      </c>
      <c r="G15" s="7">
        <f>COUNTIF('Test Cases'!$B:$B,A15)</f>
        <v>1</v>
      </c>
      <c r="H15" s="7">
        <f>COUNTIFS('Test Cases'!$B:$B,A15,'Test Cases'!$K:$K,"Automated")</f>
        <v>1</v>
      </c>
      <c r="I15" s="7">
        <f>COUNTIFS('Test Cases'!$B:$B,A15,'Test Cases'!$O:$O,"Pass")</f>
        <v>1</v>
      </c>
      <c r="J15" s="7" t="str">
        <f>IF(COUNTIFS('Test Cases'!$B:$B,A15,'Test Cases'!$O:$O,"Fail")&gt;0,"Fail",IF(I15=G15,"Pass",IF(I15&gt;0,"Partially passed","Not run")))</f>
        <v>Pass</v>
      </c>
    </row>
  </sheetData>
  <conditionalFormatting sqref="J2:J15">
    <cfRule type="cellIs" dxfId="5" priority="1" operator="equal">
      <formula>"Pass"</formula>
    </cfRule>
    <cfRule type="cellIs" dxfId="4" priority="2" operator="equal">
      <formula>"Fail"</formula>
    </cfRule>
    <cfRule type="cellIs" dxfId="3" priority="3" operator="equal">
      <formula>"Partially passed"</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0"/>
  <sheetViews>
    <sheetView workbookViewId="0">
      <pane xSplit="1" ySplit="1" topLeftCell="B2" activePane="bottomRight" state="frozen"/>
      <selection pane="topRight"/>
      <selection pane="bottomLeft"/>
      <selection pane="bottomRight"/>
    </sheetView>
  </sheetViews>
  <sheetFormatPr defaultRowHeight="15" x14ac:dyDescent="0.25"/>
  <cols>
    <col min="1" max="1" width="17" customWidth="1"/>
    <col min="2" max="2" width="13" customWidth="1"/>
    <col min="3" max="3" width="15" customWidth="1"/>
    <col min="4" max="4" width="32" customWidth="1"/>
    <col min="5" max="6" width="30" customWidth="1"/>
    <col min="7" max="7" width="48" customWidth="1"/>
    <col min="8" max="8" width="45" customWidth="1"/>
    <col min="9" max="9" width="10" customWidth="1"/>
    <col min="10" max="10" width="18" customWidth="1"/>
    <col min="11" max="11" width="15" customWidth="1"/>
    <col min="12" max="12" width="28" customWidth="1"/>
    <col min="13" max="13" width="26" customWidth="1"/>
    <col min="14" max="15" width="13" customWidth="1"/>
    <col min="16" max="16" width="24" customWidth="1"/>
    <col min="17" max="17" width="28" customWidth="1"/>
    <col min="18" max="18" width="12" customWidth="1"/>
  </cols>
  <sheetData>
    <row r="1" spans="1:18" ht="30" customHeight="1" x14ac:dyDescent="0.25">
      <c r="A1" s="6" t="s">
        <v>164</v>
      </c>
      <c r="B1" s="6" t="s">
        <v>113</v>
      </c>
      <c r="C1" s="6" t="s">
        <v>96</v>
      </c>
      <c r="D1" s="6" t="s">
        <v>165</v>
      </c>
      <c r="E1" s="6" t="s">
        <v>166</v>
      </c>
      <c r="F1" s="6" t="s">
        <v>167</v>
      </c>
      <c r="G1" s="6" t="s">
        <v>168</v>
      </c>
      <c r="H1" s="6" t="s">
        <v>169</v>
      </c>
      <c r="I1" s="6" t="s">
        <v>108</v>
      </c>
      <c r="J1" s="6" t="s">
        <v>116</v>
      </c>
      <c r="K1" s="6" t="s">
        <v>170</v>
      </c>
      <c r="L1" s="6" t="s">
        <v>171</v>
      </c>
      <c r="M1" s="6" t="s">
        <v>172</v>
      </c>
      <c r="N1" s="6" t="s">
        <v>173</v>
      </c>
      <c r="O1" s="6" t="s">
        <v>174</v>
      </c>
      <c r="P1" s="6" t="s">
        <v>175</v>
      </c>
      <c r="Q1" s="6" t="s">
        <v>176</v>
      </c>
      <c r="R1" s="6" t="s">
        <v>177</v>
      </c>
    </row>
    <row r="2" spans="1:18" ht="51" customHeight="1" x14ac:dyDescent="0.25">
      <c r="A2" s="3" t="s">
        <v>178</v>
      </c>
      <c r="B2" s="3" t="s">
        <v>126</v>
      </c>
      <c r="C2" s="3" t="s">
        <v>99</v>
      </c>
      <c r="D2" s="3" t="s">
        <v>179</v>
      </c>
      <c r="E2" s="3" t="s">
        <v>180</v>
      </c>
      <c r="F2" s="3" t="s">
        <v>181</v>
      </c>
      <c r="G2" s="3" t="s">
        <v>182</v>
      </c>
      <c r="H2" s="3" t="s">
        <v>183</v>
      </c>
      <c r="I2" s="7" t="s">
        <v>110</v>
      </c>
      <c r="J2" s="3" t="s">
        <v>129</v>
      </c>
      <c r="K2" s="7" t="s">
        <v>86</v>
      </c>
      <c r="L2" s="3" t="s">
        <v>184</v>
      </c>
      <c r="M2" s="3" t="s">
        <v>185</v>
      </c>
      <c r="N2" s="11" t="s">
        <v>5</v>
      </c>
      <c r="O2" s="11" t="s">
        <v>186</v>
      </c>
      <c r="P2" s="4" t="s">
        <v>187</v>
      </c>
      <c r="Q2" s="4" t="s">
        <v>188</v>
      </c>
      <c r="R2" s="4"/>
    </row>
    <row r="3" spans="1:18" ht="38.25" customHeight="1" x14ac:dyDescent="0.25">
      <c r="A3" s="3" t="s">
        <v>189</v>
      </c>
      <c r="B3" s="3" t="s">
        <v>118</v>
      </c>
      <c r="C3" s="3" t="s">
        <v>99</v>
      </c>
      <c r="D3" s="3" t="s">
        <v>190</v>
      </c>
      <c r="E3" s="3" t="s">
        <v>191</v>
      </c>
      <c r="F3" s="3" t="s">
        <v>192</v>
      </c>
      <c r="G3" s="3" t="s">
        <v>193</v>
      </c>
      <c r="H3" s="3" t="s">
        <v>183</v>
      </c>
      <c r="I3" s="7" t="s">
        <v>110</v>
      </c>
      <c r="J3" s="3" t="s">
        <v>121</v>
      </c>
      <c r="K3" s="7" t="s">
        <v>86</v>
      </c>
      <c r="L3" s="3" t="s">
        <v>184</v>
      </c>
      <c r="M3" s="3" t="s">
        <v>194</v>
      </c>
      <c r="N3" s="11" t="s">
        <v>5</v>
      </c>
      <c r="O3" s="11" t="s">
        <v>186</v>
      </c>
      <c r="P3" s="4" t="s">
        <v>187</v>
      </c>
      <c r="Q3" s="4" t="s">
        <v>188</v>
      </c>
      <c r="R3" s="4"/>
    </row>
    <row r="4" spans="1:18" ht="38.25" customHeight="1" x14ac:dyDescent="0.25">
      <c r="A4" s="3" t="s">
        <v>195</v>
      </c>
      <c r="B4" s="3" t="s">
        <v>118</v>
      </c>
      <c r="C4" s="3" t="s">
        <v>99</v>
      </c>
      <c r="D4" s="3" t="s">
        <v>196</v>
      </c>
      <c r="E4" s="3" t="s">
        <v>191</v>
      </c>
      <c r="F4" s="3" t="s">
        <v>192</v>
      </c>
      <c r="G4" s="3" t="s">
        <v>193</v>
      </c>
      <c r="H4" s="3" t="s">
        <v>197</v>
      </c>
      <c r="I4" s="7" t="s">
        <v>110</v>
      </c>
      <c r="J4" s="3" t="s">
        <v>121</v>
      </c>
      <c r="K4" s="7" t="s">
        <v>86</v>
      </c>
      <c r="L4" s="3" t="s">
        <v>184</v>
      </c>
      <c r="M4" s="3" t="s">
        <v>198</v>
      </c>
      <c r="N4" s="11" t="s">
        <v>5</v>
      </c>
      <c r="O4" s="11" t="s">
        <v>186</v>
      </c>
      <c r="P4" s="4" t="s">
        <v>187</v>
      </c>
      <c r="Q4" s="4" t="s">
        <v>188</v>
      </c>
      <c r="R4" s="4"/>
    </row>
    <row r="5" spans="1:18" ht="51" customHeight="1" x14ac:dyDescent="0.25">
      <c r="A5" s="3" t="s">
        <v>199</v>
      </c>
      <c r="B5" s="3" t="s">
        <v>122</v>
      </c>
      <c r="C5" s="3" t="s">
        <v>99</v>
      </c>
      <c r="D5" s="3" t="s">
        <v>200</v>
      </c>
      <c r="E5" s="3" t="s">
        <v>191</v>
      </c>
      <c r="F5" s="3" t="s">
        <v>201</v>
      </c>
      <c r="G5" s="3" t="s">
        <v>193</v>
      </c>
      <c r="H5" s="3" t="s">
        <v>202</v>
      </c>
      <c r="I5" s="7" t="s">
        <v>110</v>
      </c>
      <c r="J5" s="3" t="s">
        <v>125</v>
      </c>
      <c r="K5" s="7" t="s">
        <v>86</v>
      </c>
      <c r="L5" s="3" t="s">
        <v>184</v>
      </c>
      <c r="M5" s="3" t="s">
        <v>198</v>
      </c>
      <c r="N5" s="11" t="s">
        <v>5</v>
      </c>
      <c r="O5" s="11" t="s">
        <v>186</v>
      </c>
      <c r="P5" s="4" t="s">
        <v>187</v>
      </c>
      <c r="Q5" s="4" t="s">
        <v>188</v>
      </c>
      <c r="R5" s="4"/>
    </row>
    <row r="6" spans="1:18" ht="38.25" customHeight="1" x14ac:dyDescent="0.25">
      <c r="A6" s="3" t="s">
        <v>203</v>
      </c>
      <c r="B6" s="3" t="s">
        <v>122</v>
      </c>
      <c r="C6" s="3" t="s">
        <v>99</v>
      </c>
      <c r="D6" s="3" t="s">
        <v>204</v>
      </c>
      <c r="E6" s="3" t="s">
        <v>191</v>
      </c>
      <c r="F6" s="3" t="s">
        <v>205</v>
      </c>
      <c r="G6" s="3" t="s">
        <v>193</v>
      </c>
      <c r="H6" s="3" t="s">
        <v>206</v>
      </c>
      <c r="I6" s="7" t="s">
        <v>110</v>
      </c>
      <c r="J6" s="3" t="s">
        <v>125</v>
      </c>
      <c r="K6" s="7" t="s">
        <v>86</v>
      </c>
      <c r="L6" s="3" t="s">
        <v>184</v>
      </c>
      <c r="M6" s="3" t="s">
        <v>198</v>
      </c>
      <c r="N6" s="11" t="s">
        <v>5</v>
      </c>
      <c r="O6" s="11" t="s">
        <v>186</v>
      </c>
      <c r="P6" s="4" t="s">
        <v>187</v>
      </c>
      <c r="Q6" s="4" t="s">
        <v>188</v>
      </c>
      <c r="R6" s="4"/>
    </row>
    <row r="7" spans="1:18" ht="63.75" customHeight="1" x14ac:dyDescent="0.25">
      <c r="A7" s="3" t="s">
        <v>207</v>
      </c>
      <c r="B7" s="3" t="s">
        <v>133</v>
      </c>
      <c r="C7" s="3" t="s">
        <v>100</v>
      </c>
      <c r="D7" s="3" t="s">
        <v>208</v>
      </c>
      <c r="E7" s="3" t="s">
        <v>209</v>
      </c>
      <c r="F7" s="3" t="s">
        <v>210</v>
      </c>
      <c r="G7" s="3" t="s">
        <v>211</v>
      </c>
      <c r="H7" s="3" t="s">
        <v>212</v>
      </c>
      <c r="I7" s="7" t="s">
        <v>112</v>
      </c>
      <c r="J7" s="3" t="s">
        <v>121</v>
      </c>
      <c r="K7" s="7" t="s">
        <v>86</v>
      </c>
      <c r="L7" s="3" t="s">
        <v>184</v>
      </c>
      <c r="M7" s="3" t="s">
        <v>213</v>
      </c>
      <c r="N7" s="11" t="s">
        <v>5</v>
      </c>
      <c r="O7" s="11" t="s">
        <v>186</v>
      </c>
      <c r="P7" s="4" t="s">
        <v>187</v>
      </c>
      <c r="Q7" s="4" t="s">
        <v>188</v>
      </c>
      <c r="R7" s="4"/>
    </row>
    <row r="8" spans="1:18" ht="38.25" customHeight="1" x14ac:dyDescent="0.25">
      <c r="A8" s="3" t="s">
        <v>214</v>
      </c>
      <c r="B8" s="3" t="s">
        <v>130</v>
      </c>
      <c r="C8" s="3" t="s">
        <v>99</v>
      </c>
      <c r="D8" s="3" t="s">
        <v>215</v>
      </c>
      <c r="E8" s="3" t="s">
        <v>191</v>
      </c>
      <c r="F8" s="3" t="s">
        <v>216</v>
      </c>
      <c r="G8" s="3" t="s">
        <v>193</v>
      </c>
      <c r="H8" s="3" t="s">
        <v>217</v>
      </c>
      <c r="I8" s="7" t="s">
        <v>111</v>
      </c>
      <c r="J8" s="3" t="s">
        <v>125</v>
      </c>
      <c r="K8" s="7" t="s">
        <v>86</v>
      </c>
      <c r="L8" s="3" t="s">
        <v>184</v>
      </c>
      <c r="M8" s="3" t="s">
        <v>218</v>
      </c>
      <c r="N8" s="11" t="s">
        <v>5</v>
      </c>
      <c r="O8" s="11" t="s">
        <v>186</v>
      </c>
      <c r="P8" s="4" t="s">
        <v>187</v>
      </c>
      <c r="Q8" s="4" t="s">
        <v>188</v>
      </c>
      <c r="R8" s="4"/>
    </row>
    <row r="9" spans="1:18" ht="25.5" customHeight="1" x14ac:dyDescent="0.25">
      <c r="A9" s="3" t="s">
        <v>219</v>
      </c>
      <c r="B9" s="3" t="s">
        <v>136</v>
      </c>
      <c r="C9" s="3" t="s">
        <v>101</v>
      </c>
      <c r="D9" s="3" t="s">
        <v>220</v>
      </c>
      <c r="E9" s="3" t="s">
        <v>221</v>
      </c>
      <c r="F9" s="3" t="s">
        <v>222</v>
      </c>
      <c r="G9" s="3" t="s">
        <v>223</v>
      </c>
      <c r="H9" s="3" t="s">
        <v>224</v>
      </c>
      <c r="I9" s="7" t="s">
        <v>111</v>
      </c>
      <c r="J9" s="3" t="s">
        <v>121</v>
      </c>
      <c r="K9" s="7" t="s">
        <v>86</v>
      </c>
      <c r="L9" s="3" t="s">
        <v>225</v>
      </c>
      <c r="M9" s="3" t="s">
        <v>226</v>
      </c>
      <c r="N9" s="11" t="s">
        <v>5</v>
      </c>
      <c r="O9" s="11" t="s">
        <v>186</v>
      </c>
      <c r="P9" s="4" t="s">
        <v>187</v>
      </c>
      <c r="Q9" s="4" t="s">
        <v>188</v>
      </c>
      <c r="R9" s="4"/>
    </row>
    <row r="10" spans="1:18" ht="51" customHeight="1" x14ac:dyDescent="0.25">
      <c r="A10" s="3" t="s">
        <v>227</v>
      </c>
      <c r="B10" s="3" t="s">
        <v>139</v>
      </c>
      <c r="C10" s="3" t="s">
        <v>102</v>
      </c>
      <c r="D10" s="3" t="s">
        <v>228</v>
      </c>
      <c r="E10" s="3" t="s">
        <v>209</v>
      </c>
      <c r="F10" s="3" t="s">
        <v>229</v>
      </c>
      <c r="G10" s="3" t="s">
        <v>230</v>
      </c>
      <c r="H10" s="3" t="s">
        <v>231</v>
      </c>
      <c r="I10" s="7" t="s">
        <v>110</v>
      </c>
      <c r="J10" s="3" t="s">
        <v>121</v>
      </c>
      <c r="K10" s="7" t="s">
        <v>86</v>
      </c>
      <c r="L10" s="3" t="s">
        <v>232</v>
      </c>
      <c r="M10" s="3" t="s">
        <v>233</v>
      </c>
      <c r="N10" s="11" t="s">
        <v>5</v>
      </c>
      <c r="O10" s="11" t="s">
        <v>186</v>
      </c>
      <c r="P10" s="4" t="s">
        <v>187</v>
      </c>
      <c r="Q10" s="4" t="s">
        <v>188</v>
      </c>
      <c r="R10" s="4"/>
    </row>
    <row r="11" spans="1:18" ht="25.5" customHeight="1" x14ac:dyDescent="0.25">
      <c r="A11" s="3" t="s">
        <v>234</v>
      </c>
      <c r="B11" s="3" t="s">
        <v>142</v>
      </c>
      <c r="C11" s="3" t="s">
        <v>102</v>
      </c>
      <c r="D11" s="3" t="s">
        <v>235</v>
      </c>
      <c r="E11" s="3" t="s">
        <v>221</v>
      </c>
      <c r="F11" s="3" t="s">
        <v>229</v>
      </c>
      <c r="G11" s="3" t="s">
        <v>236</v>
      </c>
      <c r="H11" s="3" t="s">
        <v>237</v>
      </c>
      <c r="I11" s="7" t="s">
        <v>111</v>
      </c>
      <c r="J11" s="3" t="s">
        <v>121</v>
      </c>
      <c r="K11" s="7" t="s">
        <v>86</v>
      </c>
      <c r="L11" s="3" t="s">
        <v>232</v>
      </c>
      <c r="M11" s="3" t="s">
        <v>238</v>
      </c>
      <c r="N11" s="11" t="s">
        <v>5</v>
      </c>
      <c r="O11" s="11" t="s">
        <v>186</v>
      </c>
      <c r="P11" s="4" t="s">
        <v>187</v>
      </c>
      <c r="Q11" s="4" t="s">
        <v>188</v>
      </c>
      <c r="R11" s="4"/>
    </row>
    <row r="12" spans="1:18" ht="51" customHeight="1" x14ac:dyDescent="0.25">
      <c r="A12" s="3" t="s">
        <v>239</v>
      </c>
      <c r="B12" s="3" t="s">
        <v>145</v>
      </c>
      <c r="C12" s="3" t="s">
        <v>103</v>
      </c>
      <c r="D12" s="3" t="s">
        <v>240</v>
      </c>
      <c r="E12" s="3" t="s">
        <v>241</v>
      </c>
      <c r="F12" s="3" t="s">
        <v>242</v>
      </c>
      <c r="G12" s="3" t="s">
        <v>243</v>
      </c>
      <c r="H12" s="3" t="s">
        <v>244</v>
      </c>
      <c r="I12" s="7" t="s">
        <v>110</v>
      </c>
      <c r="J12" s="3" t="s">
        <v>125</v>
      </c>
      <c r="K12" s="7" t="s">
        <v>86</v>
      </c>
      <c r="L12" s="3" t="s">
        <v>245</v>
      </c>
      <c r="M12" s="3" t="s">
        <v>246</v>
      </c>
      <c r="N12" s="11" t="s">
        <v>5</v>
      </c>
      <c r="O12" s="11" t="s">
        <v>186</v>
      </c>
      <c r="P12" s="4" t="s">
        <v>187</v>
      </c>
      <c r="Q12" s="4" t="s">
        <v>188</v>
      </c>
      <c r="R12" s="4"/>
    </row>
    <row r="13" spans="1:18" ht="38.25" customHeight="1" x14ac:dyDescent="0.25">
      <c r="A13" s="3" t="s">
        <v>247</v>
      </c>
      <c r="B13" s="3" t="s">
        <v>145</v>
      </c>
      <c r="C13" s="3" t="s">
        <v>103</v>
      </c>
      <c r="D13" s="3" t="s">
        <v>248</v>
      </c>
      <c r="E13" s="3" t="s">
        <v>249</v>
      </c>
      <c r="F13" s="3" t="s">
        <v>250</v>
      </c>
      <c r="G13" s="3" t="s">
        <v>251</v>
      </c>
      <c r="H13" s="3" t="s">
        <v>252</v>
      </c>
      <c r="I13" s="7" t="s">
        <v>110</v>
      </c>
      <c r="J13" s="3" t="s">
        <v>125</v>
      </c>
      <c r="K13" s="7" t="s">
        <v>86</v>
      </c>
      <c r="L13" s="3" t="s">
        <v>245</v>
      </c>
      <c r="M13" s="3" t="s">
        <v>246</v>
      </c>
      <c r="N13" s="11" t="s">
        <v>5</v>
      </c>
      <c r="O13" s="11" t="s">
        <v>186</v>
      </c>
      <c r="P13" s="4" t="s">
        <v>187</v>
      </c>
      <c r="Q13" s="4" t="s">
        <v>188</v>
      </c>
      <c r="R13" s="4"/>
    </row>
    <row r="14" spans="1:18" ht="38.25" customHeight="1" x14ac:dyDescent="0.25">
      <c r="A14" s="3" t="s">
        <v>253</v>
      </c>
      <c r="B14" s="3" t="s">
        <v>145</v>
      </c>
      <c r="C14" s="3" t="s">
        <v>103</v>
      </c>
      <c r="D14" s="3" t="s">
        <v>254</v>
      </c>
      <c r="E14" s="3" t="s">
        <v>249</v>
      </c>
      <c r="F14" s="3" t="s">
        <v>255</v>
      </c>
      <c r="G14" s="3" t="s">
        <v>256</v>
      </c>
      <c r="H14" s="3" t="s">
        <v>257</v>
      </c>
      <c r="I14" s="7" t="s">
        <v>110</v>
      </c>
      <c r="J14" s="3" t="s">
        <v>125</v>
      </c>
      <c r="K14" s="7" t="s">
        <v>86</v>
      </c>
      <c r="L14" s="3" t="s">
        <v>245</v>
      </c>
      <c r="M14" s="3" t="s">
        <v>246</v>
      </c>
      <c r="N14" s="11" t="s">
        <v>5</v>
      </c>
      <c r="O14" s="11" t="s">
        <v>186</v>
      </c>
      <c r="P14" s="4" t="s">
        <v>187</v>
      </c>
      <c r="Q14" s="4" t="s">
        <v>188</v>
      </c>
      <c r="R14" s="4"/>
    </row>
    <row r="15" spans="1:18" ht="25.5" customHeight="1" x14ac:dyDescent="0.25">
      <c r="A15" s="3" t="s">
        <v>258</v>
      </c>
      <c r="B15" s="3" t="s">
        <v>148</v>
      </c>
      <c r="C15" s="3" t="s">
        <v>103</v>
      </c>
      <c r="D15" s="3" t="s">
        <v>259</v>
      </c>
      <c r="E15" s="3" t="s">
        <v>241</v>
      </c>
      <c r="F15" s="3" t="s">
        <v>229</v>
      </c>
      <c r="G15" s="3" t="s">
        <v>260</v>
      </c>
      <c r="H15" s="3" t="s">
        <v>261</v>
      </c>
      <c r="I15" s="7" t="s">
        <v>112</v>
      </c>
      <c r="J15" s="3" t="s">
        <v>121</v>
      </c>
      <c r="K15" s="7" t="s">
        <v>86</v>
      </c>
      <c r="L15" s="3" t="s">
        <v>245</v>
      </c>
      <c r="M15" s="3" t="s">
        <v>262</v>
      </c>
      <c r="N15" s="11" t="s">
        <v>5</v>
      </c>
      <c r="O15" s="11" t="s">
        <v>186</v>
      </c>
      <c r="P15" s="4" t="s">
        <v>187</v>
      </c>
      <c r="Q15" s="4" t="s">
        <v>188</v>
      </c>
      <c r="R15" s="4"/>
    </row>
    <row r="16" spans="1:18" ht="114.75" customHeight="1" x14ac:dyDescent="0.25">
      <c r="A16" s="3" t="s">
        <v>263</v>
      </c>
      <c r="B16" s="3" t="s">
        <v>151</v>
      </c>
      <c r="C16" s="3" t="s">
        <v>104</v>
      </c>
      <c r="D16" s="3" t="s">
        <v>264</v>
      </c>
      <c r="E16" s="3" t="s">
        <v>265</v>
      </c>
      <c r="F16" s="3" t="s">
        <v>266</v>
      </c>
      <c r="G16" s="3" t="s">
        <v>267</v>
      </c>
      <c r="H16" s="3" t="s">
        <v>268</v>
      </c>
      <c r="I16" s="7" t="s">
        <v>109</v>
      </c>
      <c r="J16" s="3" t="s">
        <v>104</v>
      </c>
      <c r="K16" s="7" t="s">
        <v>86</v>
      </c>
      <c r="L16" s="3" t="s">
        <v>269</v>
      </c>
      <c r="M16" s="3" t="s">
        <v>270</v>
      </c>
      <c r="N16" s="11" t="s">
        <v>5</v>
      </c>
      <c r="O16" s="11" t="s">
        <v>186</v>
      </c>
      <c r="P16" s="4" t="s">
        <v>187</v>
      </c>
      <c r="Q16" s="4" t="s">
        <v>188</v>
      </c>
      <c r="R16" s="4"/>
    </row>
    <row r="17" spans="1:18" ht="25.5" customHeight="1" x14ac:dyDescent="0.25">
      <c r="A17" s="3" t="s">
        <v>271</v>
      </c>
      <c r="B17" s="3" t="s">
        <v>154</v>
      </c>
      <c r="C17" s="3" t="s">
        <v>105</v>
      </c>
      <c r="D17" s="3" t="s">
        <v>272</v>
      </c>
      <c r="E17" s="3" t="s">
        <v>273</v>
      </c>
      <c r="F17" s="3" t="s">
        <v>274</v>
      </c>
      <c r="G17" s="3" t="s">
        <v>275</v>
      </c>
      <c r="H17" s="3" t="s">
        <v>276</v>
      </c>
      <c r="I17" s="7" t="s">
        <v>110</v>
      </c>
      <c r="J17" s="3" t="s">
        <v>19</v>
      </c>
      <c r="K17" s="7" t="s">
        <v>86</v>
      </c>
      <c r="L17" s="3" t="s">
        <v>277</v>
      </c>
      <c r="M17" s="3" t="s">
        <v>278</v>
      </c>
      <c r="N17" s="11" t="s">
        <v>5</v>
      </c>
      <c r="O17" s="11" t="s">
        <v>186</v>
      </c>
      <c r="P17" s="4" t="s">
        <v>187</v>
      </c>
      <c r="Q17" s="4" t="s">
        <v>188</v>
      </c>
      <c r="R17" s="4"/>
    </row>
    <row r="18" spans="1:18" ht="25.5" customHeight="1" x14ac:dyDescent="0.25">
      <c r="A18" s="3" t="s">
        <v>279</v>
      </c>
      <c r="B18" s="3" t="s">
        <v>154</v>
      </c>
      <c r="C18" s="3" t="s">
        <v>105</v>
      </c>
      <c r="D18" s="3" t="s">
        <v>280</v>
      </c>
      <c r="E18" s="3" t="s">
        <v>273</v>
      </c>
      <c r="F18" s="3" t="s">
        <v>281</v>
      </c>
      <c r="G18" s="3" t="s">
        <v>282</v>
      </c>
      <c r="H18" s="3" t="s">
        <v>283</v>
      </c>
      <c r="I18" s="7" t="s">
        <v>110</v>
      </c>
      <c r="J18" s="3" t="s">
        <v>19</v>
      </c>
      <c r="K18" s="7" t="s">
        <v>86</v>
      </c>
      <c r="L18" s="3" t="s">
        <v>277</v>
      </c>
      <c r="M18" s="3" t="s">
        <v>284</v>
      </c>
      <c r="N18" s="11" t="s">
        <v>5</v>
      </c>
      <c r="O18" s="11" t="s">
        <v>186</v>
      </c>
      <c r="P18" s="4" t="s">
        <v>187</v>
      </c>
      <c r="Q18" s="4" t="s">
        <v>188</v>
      </c>
      <c r="R18" s="4"/>
    </row>
    <row r="19" spans="1:18" ht="51" customHeight="1" x14ac:dyDescent="0.25">
      <c r="A19" s="3" t="s">
        <v>285</v>
      </c>
      <c r="B19" s="3" t="s">
        <v>157</v>
      </c>
      <c r="C19" s="3" t="s">
        <v>105</v>
      </c>
      <c r="D19" s="3" t="s">
        <v>286</v>
      </c>
      <c r="E19" s="3" t="s">
        <v>273</v>
      </c>
      <c r="F19" s="3" t="s">
        <v>287</v>
      </c>
      <c r="G19" s="3" t="s">
        <v>288</v>
      </c>
      <c r="H19" s="3" t="s">
        <v>289</v>
      </c>
      <c r="I19" s="7" t="s">
        <v>110</v>
      </c>
      <c r="J19" s="3" t="s">
        <v>19</v>
      </c>
      <c r="K19" s="7" t="s">
        <v>86</v>
      </c>
      <c r="L19" s="3" t="s">
        <v>277</v>
      </c>
      <c r="M19" s="3" t="s">
        <v>290</v>
      </c>
      <c r="N19" s="11" t="s">
        <v>5</v>
      </c>
      <c r="O19" s="11" t="s">
        <v>186</v>
      </c>
      <c r="P19" s="4" t="s">
        <v>187</v>
      </c>
      <c r="Q19" s="4" t="s">
        <v>188</v>
      </c>
      <c r="R19" s="4"/>
    </row>
    <row r="20" spans="1:18" ht="25.5" customHeight="1" x14ac:dyDescent="0.25">
      <c r="A20" s="3" t="s">
        <v>291</v>
      </c>
      <c r="B20" s="3" t="s">
        <v>160</v>
      </c>
      <c r="C20" s="3" t="s">
        <v>105</v>
      </c>
      <c r="D20" s="3" t="s">
        <v>292</v>
      </c>
      <c r="E20" s="3" t="s">
        <v>273</v>
      </c>
      <c r="F20" s="3" t="s">
        <v>293</v>
      </c>
      <c r="G20" s="3" t="s">
        <v>294</v>
      </c>
      <c r="H20" s="3" t="s">
        <v>295</v>
      </c>
      <c r="I20" s="7" t="s">
        <v>111</v>
      </c>
      <c r="J20" s="3" t="s">
        <v>163</v>
      </c>
      <c r="K20" s="7" t="s">
        <v>86</v>
      </c>
      <c r="L20" s="3" t="s">
        <v>277</v>
      </c>
      <c r="M20" s="3" t="s">
        <v>296</v>
      </c>
      <c r="N20" s="11" t="s">
        <v>5</v>
      </c>
      <c r="O20" s="11" t="s">
        <v>186</v>
      </c>
      <c r="P20" s="4" t="s">
        <v>187</v>
      </c>
      <c r="Q20" s="4" t="s">
        <v>188</v>
      </c>
      <c r="R20" s="4"/>
    </row>
  </sheetData>
  <autoFilter ref="A1:R20" xr:uid="{00000000-0009-0000-0000-000003000000}"/>
  <conditionalFormatting sqref="O2:O200">
    <cfRule type="cellIs" dxfId="2" priority="1" operator="equal">
      <formula>"Pass"</formula>
    </cfRule>
    <cfRule type="cellIs" dxfId="1" priority="2" operator="equal">
      <formula>"Fail"</formula>
    </cfRule>
    <cfRule type="cellIs" dxfId="0" priority="3" operator="equal">
      <formula>"Blocked"</formula>
    </cfRule>
  </conditionalFormatting>
  <dataValidations count="3">
    <dataValidation type="list" allowBlank="1" sqref="O2:O200" xr:uid="{00000000-0002-0000-0300-000000000000}">
      <formula1>"Pass,Fail,Blocked,Not Run"</formula1>
    </dataValidation>
    <dataValidation type="list" allowBlank="1" sqref="I2:I200" xr:uid="{00000000-0002-0000-0300-000001000000}">
      <formula1>"Critical,High,Medium,Low"</formula1>
    </dataValidation>
    <dataValidation type="list" allowBlank="1" sqref="K2:K200" xr:uid="{00000000-0002-0000-0300-000002000000}">
      <formula1>"Automated,Not automated"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Plan</vt:lpstr>
      <vt:lpstr>Summary</vt:lpstr>
      <vt:lpstr>Test Scenarios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6467</cp:lastModifiedBy>
  <dcterms:created xsi:type="dcterms:W3CDTF">2026-10-12T18:21:53Z</dcterms:created>
  <dcterms:modified xsi:type="dcterms:W3CDTF">2026-10-12T20:13:27Z</dcterms:modified>
</cp:coreProperties>
</file>